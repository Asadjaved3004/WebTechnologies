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Foundation University\Spring 2026\Web Technology Lab\OBE\"/>
    </mc:Choice>
  </mc:AlternateContent>
  <xr:revisionPtr revIDLastSave="0" documentId="13_ncr:1_{B6B36C0F-1F75-40F0-82E5-A63819968A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BE" sheetId="4" r:id="rId1"/>
    <sheet name="Rubrics" sheetId="2" r:id="rId2"/>
    <sheet name="Grading_Polic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1_98403c5e-5012-4a16-8e56-048bedd1b49b" name="Table002  Page 1" connection="Query - Table002 (Page 1)"/>
          <x15:modelTable id="Table003  Page 2_f9225ca5-5644-47fc-ad71-41d16caaf380" name="Table003  Page 2" connection="Query - Table003 (Page 2)"/>
        </x15:modelTables>
      </x15:dataModel>
    </ext>
  </extLst>
</workbook>
</file>

<file path=xl/calcChain.xml><?xml version="1.0" encoding="utf-8"?>
<calcChain xmlns="http://schemas.openxmlformats.org/spreadsheetml/2006/main">
  <c r="AN12" i="4" l="1"/>
  <c r="AM13" i="4"/>
  <c r="AP13" i="4" s="1"/>
  <c r="AM14" i="4"/>
  <c r="AP14" i="4" s="1"/>
  <c r="AM15" i="4"/>
  <c r="AP15" i="4" s="1"/>
  <c r="AM16" i="4"/>
  <c r="AP16" i="4" s="1"/>
  <c r="AM17" i="4"/>
  <c r="AP17" i="4" s="1"/>
  <c r="AM18" i="4"/>
  <c r="AP18" i="4" s="1"/>
  <c r="AM19" i="4"/>
  <c r="AP19" i="4" s="1"/>
  <c r="AM20" i="4"/>
  <c r="AP20" i="4" s="1"/>
  <c r="AM21" i="4"/>
  <c r="AP21" i="4" s="1"/>
  <c r="AM22" i="4"/>
  <c r="AP22" i="4" s="1"/>
  <c r="AM23" i="4"/>
  <c r="AP23" i="4" s="1"/>
  <c r="AM24" i="4"/>
  <c r="AP24" i="4" s="1"/>
  <c r="AM25" i="4"/>
  <c r="AP25" i="4" s="1"/>
  <c r="AM26" i="4"/>
  <c r="AP26" i="4" s="1"/>
  <c r="AM27" i="4"/>
  <c r="AP27" i="4" s="1"/>
  <c r="AM28" i="4"/>
  <c r="AP28" i="4" s="1"/>
  <c r="AM29" i="4"/>
  <c r="AP29" i="4" s="1"/>
  <c r="AM30" i="4"/>
  <c r="AP30" i="4" s="1"/>
  <c r="AM31" i="4"/>
  <c r="AP31" i="4" s="1"/>
  <c r="AM32" i="4"/>
  <c r="AP32" i="4" s="1"/>
  <c r="AM33" i="4"/>
  <c r="AP33" i="4" s="1"/>
  <c r="AM34" i="4"/>
  <c r="AP34" i="4" s="1"/>
  <c r="AM35" i="4"/>
  <c r="AP35" i="4" s="1"/>
  <c r="AM36" i="4"/>
  <c r="AP36" i="4" s="1"/>
  <c r="AM37" i="4"/>
  <c r="AP37" i="4" s="1"/>
  <c r="AM38" i="4"/>
  <c r="AP38" i="4" s="1"/>
  <c r="AM39" i="4"/>
  <c r="AP39" i="4" s="1"/>
  <c r="AM40" i="4"/>
  <c r="AP40" i="4" s="1"/>
  <c r="AM41" i="4"/>
  <c r="AP41" i="4" s="1"/>
  <c r="AM42" i="4"/>
  <c r="AP42" i="4" s="1"/>
  <c r="AM43" i="4"/>
  <c r="AP43" i="4" s="1"/>
  <c r="AM44" i="4"/>
  <c r="AP44" i="4" s="1"/>
  <c r="AM45" i="4"/>
  <c r="AP45" i="4" s="1"/>
  <c r="AM46" i="4"/>
  <c r="AP46" i="4" s="1"/>
  <c r="AM47" i="4"/>
  <c r="AP47" i="4" s="1"/>
  <c r="AM48" i="4"/>
  <c r="AP48" i="4" s="1"/>
  <c r="AM49" i="4"/>
  <c r="AP49" i="4" s="1"/>
  <c r="AM50" i="4"/>
  <c r="AP50" i="4" s="1"/>
  <c r="AM51" i="4"/>
  <c r="AP51" i="4" s="1"/>
  <c r="AM52" i="4"/>
  <c r="AP52" i="4" s="1"/>
  <c r="AM12" i="4"/>
  <c r="AL13" i="4"/>
  <c r="AO13" i="4" s="1"/>
  <c r="AL14" i="4"/>
  <c r="AO14" i="4" s="1"/>
  <c r="AL15" i="4"/>
  <c r="AO15" i="4" s="1"/>
  <c r="AL16" i="4"/>
  <c r="AO16" i="4" s="1"/>
  <c r="AL17" i="4"/>
  <c r="AO17" i="4" s="1"/>
  <c r="AL18" i="4"/>
  <c r="AO18" i="4" s="1"/>
  <c r="AL19" i="4"/>
  <c r="AO19" i="4" s="1"/>
  <c r="AL20" i="4"/>
  <c r="AO20" i="4" s="1"/>
  <c r="AL21" i="4"/>
  <c r="AO21" i="4" s="1"/>
  <c r="AL22" i="4"/>
  <c r="AO22" i="4" s="1"/>
  <c r="AL23" i="4"/>
  <c r="AO23" i="4" s="1"/>
  <c r="AL24" i="4"/>
  <c r="AO24" i="4" s="1"/>
  <c r="AL25" i="4"/>
  <c r="AO25" i="4" s="1"/>
  <c r="AL26" i="4"/>
  <c r="AO26" i="4" s="1"/>
  <c r="AL27" i="4"/>
  <c r="AO27" i="4" s="1"/>
  <c r="AL28" i="4"/>
  <c r="AO28" i="4" s="1"/>
  <c r="AL29" i="4"/>
  <c r="AO29" i="4" s="1"/>
  <c r="AL30" i="4"/>
  <c r="AO30" i="4" s="1"/>
  <c r="AL31" i="4"/>
  <c r="AO31" i="4" s="1"/>
  <c r="AL32" i="4"/>
  <c r="AO32" i="4" s="1"/>
  <c r="AL33" i="4"/>
  <c r="AO33" i="4" s="1"/>
  <c r="AL34" i="4"/>
  <c r="AO34" i="4" s="1"/>
  <c r="AL35" i="4"/>
  <c r="AO35" i="4" s="1"/>
  <c r="AL36" i="4"/>
  <c r="AO36" i="4" s="1"/>
  <c r="AL37" i="4"/>
  <c r="AO37" i="4" s="1"/>
  <c r="AL38" i="4"/>
  <c r="AO38" i="4" s="1"/>
  <c r="AL39" i="4"/>
  <c r="AO39" i="4" s="1"/>
  <c r="AL40" i="4"/>
  <c r="AO40" i="4" s="1"/>
  <c r="AL41" i="4"/>
  <c r="AO41" i="4" s="1"/>
  <c r="AL42" i="4"/>
  <c r="AO42" i="4" s="1"/>
  <c r="AL43" i="4"/>
  <c r="AO43" i="4" s="1"/>
  <c r="AL44" i="4"/>
  <c r="AO44" i="4" s="1"/>
  <c r="AL45" i="4"/>
  <c r="AO45" i="4" s="1"/>
  <c r="AL46" i="4"/>
  <c r="AO46" i="4" s="1"/>
  <c r="AL47" i="4"/>
  <c r="AO47" i="4" s="1"/>
  <c r="AL48" i="4"/>
  <c r="AO48" i="4" s="1"/>
  <c r="AL49" i="4"/>
  <c r="AO49" i="4" s="1"/>
  <c r="AL50" i="4"/>
  <c r="AO50" i="4" s="1"/>
  <c r="AL51" i="4"/>
  <c r="AO51" i="4" s="1"/>
  <c r="AL52" i="4"/>
  <c r="AO52" i="4" s="1"/>
  <c r="AL12" i="4"/>
  <c r="AJ13" i="4"/>
  <c r="AJ14" i="4"/>
  <c r="AJ15" i="4"/>
  <c r="AJ16" i="4"/>
  <c r="AJ17" i="4"/>
  <c r="AJ18" i="4"/>
  <c r="AJ19" i="4"/>
  <c r="AJ20" i="4"/>
  <c r="AS20" i="4" s="1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A18" i="4"/>
  <c r="AE18" i="4"/>
  <c r="AN18" i="4"/>
  <c r="AA17" i="4"/>
  <c r="AO12" i="4" l="1"/>
  <c r="AL53" i="4"/>
  <c r="AP12" i="4"/>
  <c r="AM53" i="4"/>
  <c r="AT42" i="4"/>
  <c r="AS42" i="4"/>
  <c r="AR42" i="4"/>
  <c r="AQ42" i="4"/>
  <c r="AT34" i="4"/>
  <c r="AS34" i="4"/>
  <c r="AR34" i="4"/>
  <c r="AQ34" i="4"/>
  <c r="AT26" i="4"/>
  <c r="AS26" i="4"/>
  <c r="AR26" i="4"/>
  <c r="AQ26" i="4"/>
  <c r="AT49" i="4"/>
  <c r="AS49" i="4"/>
  <c r="AR49" i="4"/>
  <c r="AQ49" i="4"/>
  <c r="AT48" i="4"/>
  <c r="AS48" i="4"/>
  <c r="AR48" i="4"/>
  <c r="AQ48" i="4"/>
  <c r="AR40" i="4"/>
  <c r="AQ40" i="4"/>
  <c r="AT40" i="4"/>
  <c r="AS40" i="4"/>
  <c r="AT32" i="4"/>
  <c r="AS32" i="4"/>
  <c r="AR32" i="4"/>
  <c r="AQ32" i="4"/>
  <c r="AQ24" i="4"/>
  <c r="AT24" i="4"/>
  <c r="AS24" i="4"/>
  <c r="AR24" i="4"/>
  <c r="AT16" i="4"/>
  <c r="AS16" i="4"/>
  <c r="AQ16" i="4"/>
  <c r="AR16" i="4"/>
  <c r="AQ51" i="4"/>
  <c r="AT51" i="4"/>
  <c r="AS51" i="4"/>
  <c r="AR51" i="4"/>
  <c r="AR27" i="4"/>
  <c r="AT27" i="4"/>
  <c r="AQ27" i="4"/>
  <c r="AS27" i="4"/>
  <c r="AT41" i="4"/>
  <c r="AS41" i="4"/>
  <c r="AR41" i="4"/>
  <c r="AQ41" i="4"/>
  <c r="AT33" i="4"/>
  <c r="AS33" i="4"/>
  <c r="AR33" i="4"/>
  <c r="AQ33" i="4"/>
  <c r="AT25" i="4"/>
  <c r="AS25" i="4"/>
  <c r="AR25" i="4"/>
  <c r="AQ25" i="4"/>
  <c r="AT17" i="4"/>
  <c r="AS17" i="4"/>
  <c r="AR17" i="4"/>
  <c r="AQ17" i="4"/>
  <c r="AT47" i="4"/>
  <c r="AS47" i="4"/>
  <c r="AR47" i="4"/>
  <c r="AQ47" i="4"/>
  <c r="AT39" i="4"/>
  <c r="AS39" i="4"/>
  <c r="AR39" i="4"/>
  <c r="AQ39" i="4"/>
  <c r="AT31" i="4"/>
  <c r="AS31" i="4"/>
  <c r="AR31" i="4"/>
  <c r="AQ31" i="4"/>
  <c r="AT23" i="4"/>
  <c r="AS23" i="4"/>
  <c r="AR23" i="4"/>
  <c r="AQ23" i="4"/>
  <c r="AT15" i="4"/>
  <c r="AS15" i="4"/>
  <c r="AR15" i="4"/>
  <c r="AQ15" i="4"/>
  <c r="AT30" i="4"/>
  <c r="AS30" i="4"/>
  <c r="AR30" i="4"/>
  <c r="AQ30" i="4"/>
  <c r="AR43" i="4"/>
  <c r="AT43" i="4"/>
  <c r="AQ43" i="4"/>
  <c r="AS43" i="4"/>
  <c r="AR19" i="4"/>
  <c r="AQ19" i="4"/>
  <c r="AT19" i="4"/>
  <c r="AS19" i="4"/>
  <c r="AT46" i="4"/>
  <c r="AS46" i="4"/>
  <c r="AR46" i="4"/>
  <c r="AQ46" i="4"/>
  <c r="AT14" i="4"/>
  <c r="AS14" i="4"/>
  <c r="AQ14" i="4"/>
  <c r="AR14" i="4"/>
  <c r="AT29" i="4"/>
  <c r="AS29" i="4"/>
  <c r="AR29" i="4"/>
  <c r="AQ29" i="4"/>
  <c r="AT38" i="4"/>
  <c r="AS38" i="4"/>
  <c r="AR38" i="4"/>
  <c r="AQ38" i="4"/>
  <c r="AT22" i="4"/>
  <c r="AS22" i="4"/>
  <c r="AR22" i="4"/>
  <c r="AQ22" i="4"/>
  <c r="AT45" i="4"/>
  <c r="AS45" i="4"/>
  <c r="AR45" i="4"/>
  <c r="AQ45" i="4"/>
  <c r="AT37" i="4"/>
  <c r="AS37" i="4"/>
  <c r="AR37" i="4"/>
  <c r="AQ37" i="4"/>
  <c r="AT21" i="4"/>
  <c r="AS21" i="4"/>
  <c r="AR21" i="4"/>
  <c r="AQ21" i="4"/>
  <c r="AT13" i="4"/>
  <c r="AS13" i="4"/>
  <c r="AR13" i="4"/>
  <c r="AQ13" i="4"/>
  <c r="AS52" i="4"/>
  <c r="AR52" i="4"/>
  <c r="AQ52" i="4"/>
  <c r="AT52" i="4"/>
  <c r="AS44" i="4"/>
  <c r="AR44" i="4"/>
  <c r="AQ44" i="4"/>
  <c r="AT44" i="4"/>
  <c r="AS36" i="4"/>
  <c r="AQ36" i="4"/>
  <c r="AR36" i="4"/>
  <c r="AT36" i="4"/>
  <c r="AS28" i="4"/>
  <c r="AR28" i="4"/>
  <c r="AT28" i="4"/>
  <c r="AQ28" i="4"/>
  <c r="AR20" i="4"/>
  <c r="AQ20" i="4"/>
  <c r="AT20" i="4"/>
  <c r="AQ35" i="4"/>
  <c r="AT35" i="4"/>
  <c r="AR35" i="4"/>
  <c r="AS35" i="4"/>
  <c r="AT50" i="4"/>
  <c r="AS50" i="4"/>
  <c r="AR50" i="4"/>
  <c r="AQ50" i="4"/>
  <c r="AT18" i="4"/>
  <c r="AS18" i="4"/>
  <c r="AQ18" i="4"/>
  <c r="AR18" i="4"/>
  <c r="AA9" i="4"/>
  <c r="AB18" i="4" s="1"/>
  <c r="AK18" i="4" s="1"/>
  <c r="AA13" i="4"/>
  <c r="AA14" i="4"/>
  <c r="AA15" i="4"/>
  <c r="AA16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12" i="4"/>
  <c r="AB51" i="4" l="1"/>
  <c r="AB43" i="4"/>
  <c r="AB35" i="4"/>
  <c r="AB50" i="4"/>
  <c r="AB42" i="4"/>
  <c r="AB34" i="4"/>
  <c r="AB26" i="4"/>
  <c r="AB17" i="4"/>
  <c r="AB41" i="4"/>
  <c r="AB49" i="4"/>
  <c r="AB33" i="4"/>
  <c r="AB27" i="4"/>
  <c r="AB19" i="4"/>
  <c r="AB25" i="4"/>
  <c r="AB48" i="4"/>
  <c r="AB16" i="4"/>
  <c r="AB46" i="4"/>
  <c r="AB38" i="4"/>
  <c r="AB12" i="4"/>
  <c r="AB37" i="4"/>
  <c r="AB29" i="4"/>
  <c r="AB21" i="4"/>
  <c r="AB45" i="4"/>
  <c r="AB40" i="4"/>
  <c r="AB32" i="4"/>
  <c r="AB24" i="4"/>
  <c r="AB15" i="4"/>
  <c r="AB47" i="4"/>
  <c r="AB39" i="4"/>
  <c r="AB31" i="4"/>
  <c r="AB23" i="4"/>
  <c r="AB30" i="4"/>
  <c r="AB22" i="4"/>
  <c r="AB13" i="4"/>
  <c r="AB52" i="4"/>
  <c r="AB44" i="4"/>
  <c r="AB36" i="4"/>
  <c r="AB28" i="4"/>
  <c r="AB14" i="4"/>
  <c r="AB20" i="4"/>
  <c r="AN13" i="4"/>
  <c r="AN14" i="4"/>
  <c r="AN15" i="4"/>
  <c r="AN16" i="4"/>
  <c r="AN17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E13" i="4"/>
  <c r="AE14" i="4"/>
  <c r="AE15" i="4"/>
  <c r="AE16" i="4"/>
  <c r="AE17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12" i="4"/>
  <c r="AJ12" i="4"/>
  <c r="AJ9" i="4"/>
  <c r="AE9" i="4"/>
  <c r="AN53" i="4" l="1"/>
  <c r="AT12" i="4"/>
  <c r="AS12" i="4"/>
  <c r="AR12" i="4"/>
  <c r="AQ12" i="4"/>
  <c r="AK43" i="4"/>
  <c r="AK39" i="4"/>
  <c r="AK48" i="4"/>
  <c r="AK19" i="4"/>
  <c r="AK27" i="4"/>
  <c r="AK17" i="4"/>
  <c r="AK32" i="4"/>
  <c r="AK25" i="4"/>
  <c r="AK52" i="4"/>
  <c r="AK34" i="4"/>
  <c r="AK46" i="4"/>
  <c r="AK30" i="4"/>
  <c r="AK22" i="4"/>
  <c r="AK47" i="4"/>
  <c r="AK33" i="4"/>
  <c r="AK26" i="4"/>
  <c r="AK38" i="4"/>
  <c r="AK45" i="4"/>
  <c r="AK16" i="4"/>
  <c r="AK51" i="4"/>
  <c r="AK44" i="4"/>
  <c r="AK37" i="4"/>
  <c r="AK31" i="4"/>
  <c r="AK23" i="4"/>
  <c r="AK15" i="4"/>
  <c r="AK50" i="4"/>
  <c r="AK14" i="4"/>
  <c r="AK24" i="4"/>
  <c r="AK40" i="4"/>
  <c r="AK49" i="4"/>
  <c r="AK42" i="4"/>
  <c r="AK36" i="4"/>
  <c r="AK29" i="4"/>
  <c r="AK21" i="4"/>
  <c r="AK13" i="4"/>
  <c r="AK41" i="4"/>
  <c r="AK35" i="4"/>
  <c r="AK28" i="4"/>
  <c r="AK20" i="4"/>
  <c r="AK9" i="4" l="1"/>
  <c r="AK12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002 (Page 1)" description="Connection to the 'Table002 (Page 1)' query in the workbook." type="100" refreshedVersion="8" minRefreshableVersion="5">
    <extLst>
      <ext xmlns:x15="http://schemas.microsoft.com/office/spreadsheetml/2010/11/main" uri="{DE250136-89BD-433C-8126-D09CA5730AF9}">
        <x15:connection id="b969d478-fdbe-4b71-b4ee-62a440b6e984"/>
      </ext>
    </extLst>
  </connection>
  <connection id="2" xr16:uid="{00000000-0015-0000-FFFF-FFFF01000000}" name="Query - Table003 (Page 2)" description="Connection to the 'Table003 (Page 2)' query in the workbook." type="100" refreshedVersion="8" minRefreshableVersion="5">
    <extLst>
      <ext xmlns:x15="http://schemas.microsoft.com/office/spreadsheetml/2010/11/main" uri="{DE250136-89BD-433C-8126-D09CA5730AF9}">
        <x15:connection id="bb13f428-f38c-46f9-80b3-75dd6913661e"/>
      </ext>
    </extLst>
  </connection>
  <connection id="3" xr16:uid="{00000000-0015-0000-FFFF-FFFF02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<sst xmlns="http://schemas.openxmlformats.org/spreadsheetml/2006/main" count="311" uniqueCount="194">
  <si>
    <t>FOUNDATION UNIVERSITY SCHOOL OF SCIENCE AND TECHNOLOGY OF SCIENCE AND TECHNOLOGY</t>
  </si>
  <si>
    <t>DEPARTMENT OF ENGINEERING TECHNOLOGY</t>
  </si>
  <si>
    <t>INFORMATION ENGINEERING TECHNOLOGY PROGRAM</t>
  </si>
  <si>
    <t>Session: Spring-2026</t>
  </si>
  <si>
    <t>CLO1</t>
  </si>
  <si>
    <t>CLO2</t>
  </si>
  <si>
    <t>CLO3</t>
  </si>
  <si>
    <t>Lab 1</t>
  </si>
  <si>
    <t>Lab 2</t>
  </si>
  <si>
    <t>Lab 3</t>
  </si>
  <si>
    <t>Lab 4</t>
  </si>
  <si>
    <t>Lab 5</t>
  </si>
  <si>
    <t>Lab 6</t>
  </si>
  <si>
    <t>Lab 7</t>
  </si>
  <si>
    <t>Lab 8</t>
  </si>
  <si>
    <t>Lab 9</t>
  </si>
  <si>
    <t>Lab 10</t>
  </si>
  <si>
    <t>Lab 11</t>
  </si>
  <si>
    <t>Lab 12</t>
  </si>
  <si>
    <t xml:space="preserve">Sessional </t>
  </si>
  <si>
    <t xml:space="preserve">Mid Term Exam </t>
  </si>
  <si>
    <t>Project</t>
  </si>
  <si>
    <t>Grand Total Marks</t>
  </si>
  <si>
    <t>CLO 1</t>
  </si>
  <si>
    <t>CLO 2</t>
  </si>
  <si>
    <t>CLO 3</t>
  </si>
  <si>
    <t>PLO 5</t>
  </si>
  <si>
    <t>PLO 10</t>
  </si>
  <si>
    <t>PLO 10(AVG)</t>
  </si>
  <si>
    <t>PLO5(AVG)</t>
  </si>
  <si>
    <t>PLO 3</t>
  </si>
  <si>
    <t>PLO 9</t>
  </si>
  <si>
    <t>R1</t>
  </si>
  <si>
    <t>R2</t>
  </si>
  <si>
    <t>Total</t>
  </si>
  <si>
    <t>ER1</t>
  </si>
  <si>
    <t>ER2</t>
  </si>
  <si>
    <t>PR1</t>
  </si>
  <si>
    <t>PR2</t>
  </si>
  <si>
    <t>PR3</t>
  </si>
  <si>
    <t>PR4</t>
  </si>
  <si>
    <t xml:space="preserve">CLO 2 </t>
  </si>
  <si>
    <t>Registration No.</t>
  </si>
  <si>
    <t>Student Name</t>
  </si>
  <si>
    <t>Obtained Marks</t>
  </si>
  <si>
    <t>Total Obtained Marks</t>
  </si>
  <si>
    <t>FURC/FA24-BSET-004/FUI</t>
  </si>
  <si>
    <t>ABDULLAH MUSHTAQ QURESHI</t>
  </si>
  <si>
    <t>FURC/FA24-BSET-005/FUI</t>
  </si>
  <si>
    <t>AIMA HAROON</t>
  </si>
  <si>
    <t>FURC/FA24-BSET-007/FUI</t>
  </si>
  <si>
    <t>ATHER WALEED AHMED</t>
  </si>
  <si>
    <t>FURC/FA24-BSET-008/FUI</t>
  </si>
  <si>
    <t>AYESHA NASIR</t>
  </si>
  <si>
    <t>FURC/FA24-BSET-010/FUI</t>
  </si>
  <si>
    <t>DUA KIYANI</t>
  </si>
  <si>
    <t>FURC/FA24-BSET-011/FUI</t>
  </si>
  <si>
    <t>FAISAL IQBAL</t>
  </si>
  <si>
    <t>FURC/FA24-BSET-012/FUI</t>
  </si>
  <si>
    <t>FAIZAN ADNAN</t>
  </si>
  <si>
    <t>FURC/FA24-BSET-013/FUI</t>
  </si>
  <si>
    <t>HAMZA ALI KHAN</t>
  </si>
  <si>
    <t>FURC/FA24-BSET-014/FUI</t>
  </si>
  <si>
    <t>HUMERA MUMTAZ</t>
  </si>
  <si>
    <t>FURC/FA24-BSET-016/FUI</t>
  </si>
  <si>
    <t>LAIBA</t>
  </si>
  <si>
    <t>FURC/FA24-BSET-017/FUI</t>
  </si>
  <si>
    <t>LAIBA SHAHID</t>
  </si>
  <si>
    <t>FURC/FA24-BSET-018/FUI</t>
  </si>
  <si>
    <t>M IBRAHIM AAMIR</t>
  </si>
  <si>
    <t>FURC/FA24-BSET-021/FUI</t>
  </si>
  <si>
    <t>MAHNOOR SHAH</t>
  </si>
  <si>
    <t>FURC/FA24-BSET-022/FUI</t>
  </si>
  <si>
    <t>MAHZAIB IRSHAD</t>
  </si>
  <si>
    <t>FURC/FA24-BSET-025/FUI</t>
  </si>
  <si>
    <t>MUHAMMAD ABDULLAH</t>
  </si>
  <si>
    <t>FURC/FA24-BSET-026/FUI</t>
  </si>
  <si>
    <t>MUHAMMAD ALI BAIG</t>
  </si>
  <si>
    <t>FURC/FA24-BSET-028/FUI</t>
  </si>
  <si>
    <t>MUHAMMAD ASAD AFZAL</t>
  </si>
  <si>
    <t>FURC/FA24-BSET-034/FUI</t>
  </si>
  <si>
    <t>MUHAMMAD IRTAZA</t>
  </si>
  <si>
    <t>FURC/FA24-BSET-035/FUI</t>
  </si>
  <si>
    <t>MUHAMMAD SABOOR RAZZAQ</t>
  </si>
  <si>
    <t>FURC/FA24-BSET-037/FUI</t>
  </si>
  <si>
    <t>MUHAMMAD UMAIR HAIDER</t>
  </si>
  <si>
    <t>FURC/FA24-BSET-038/FUI</t>
  </si>
  <si>
    <t>MUHAMMAD UMER SHAHZAD</t>
  </si>
  <si>
    <t>FURC/FA24-BSET-039/FUI</t>
  </si>
  <si>
    <t>RAMEEZ HASSAN</t>
  </si>
  <si>
    <t>FURC/FA24-BSET-041/FUI</t>
  </si>
  <si>
    <t>SAAD IRFAN</t>
  </si>
  <si>
    <t>FURC/FA24-BSET-043/FUI</t>
  </si>
  <si>
    <t>SAMEER GUL</t>
  </si>
  <si>
    <t>FURC/FA24-BSET-046/FUI</t>
  </si>
  <si>
    <t>TOOBA JAMIL</t>
  </si>
  <si>
    <t>FURC/FA24-BSET-047/FUI</t>
  </si>
  <si>
    <t>ZAEEM HASSAN</t>
  </si>
  <si>
    <t>Software-based Lab Rubrics (Lab performance and  Lab Report)</t>
  </si>
  <si>
    <t>Sr. #</t>
  </si>
  <si>
    <t>Performance</t>
  </si>
  <si>
    <t>Exemplary(4-5)</t>
  </si>
  <si>
    <t>Satisfactory (2-3)</t>
  </si>
  <si>
    <t>Unsatisfactory (0-1)</t>
  </si>
  <si>
    <t>PLO</t>
  </si>
  <si>
    <t>Assesment Scheme</t>
  </si>
  <si>
    <t>Indicator</t>
  </si>
  <si>
    <t>(4-5)</t>
  </si>
  <si>
    <t>(0-1)</t>
  </si>
  <si>
    <t>Code writing</t>
  </si>
  <si>
    <t xml:space="preserve">Demonstrates proficiency
 to write a code in a given
 language to implement
 a given algorithm </t>
  </si>
  <si>
    <t xml:space="preserve">Can implement algorithm
 with some help from
 instructor/colleagues </t>
  </si>
  <si>
    <t>Does not have relevant skills to
 code in a given platform</t>
  </si>
  <si>
    <t>Hands-on</t>
  </si>
  <si>
    <t>Operate Software</t>
  </si>
  <si>
    <t>Demonstrate proficiency in
 ability to execute/debug 
code in software.</t>
  </si>
  <si>
    <t>Is lacking in hands on skills 
related to perform all
 functions in the software</t>
  </si>
  <si>
    <t>Cannot operate a software at all.</t>
  </si>
  <si>
    <t>Communication</t>
  </si>
  <si>
    <t>Code is well commented 
and naming conventions 
are followed</t>
  </si>
  <si>
    <t>Code is poorly organized 
and naming conventions
 are poorly followed</t>
  </si>
  <si>
    <t>Code is not commented at all</t>
  </si>
  <si>
    <t>Report</t>
  </si>
  <si>
    <t>Lab Project</t>
  </si>
  <si>
    <t>Sr.#</t>
  </si>
  <si>
    <t>Exemplary (45-50)</t>
  </si>
  <si>
    <t>Satisfactory (15-44)</t>
  </si>
  <si>
    <t>Unsatisfactory (0-14)</t>
  </si>
  <si>
    <t>Team work</t>
  </si>
  <si>
    <t>Student has made required contribution to the project.</t>
  </si>
  <si>
    <t>The students has made some contribution but it is below par.</t>
  </si>
  <si>
    <t>The student has not made any contribution to the project.</t>
  </si>
  <si>
    <t xml:space="preserve">Report (containig task distribution)
and  Viva </t>
  </si>
  <si>
    <t>Lab Exam (Software-based Lab)</t>
  </si>
  <si>
    <t>For Broadly Defined Project</t>
  </si>
  <si>
    <t>Grading Policy</t>
  </si>
  <si>
    <t>Program Learning Outcomes</t>
  </si>
  <si>
    <t>Lab sessional (lab performance + Lab report)</t>
  </si>
  <si>
    <t>PLO1:</t>
  </si>
  <si>
    <t>Engineering Knowledge</t>
  </si>
  <si>
    <t xml:space="preserve">Lab Project (Broadly defined Project) </t>
  </si>
  <si>
    <t>PLO2:</t>
  </si>
  <si>
    <t>Problem Analysis</t>
  </si>
  <si>
    <t xml:space="preserve">Lab Exam </t>
  </si>
  <si>
    <t>PLO3:</t>
  </si>
  <si>
    <t>Design/Development of Solutions</t>
  </si>
  <si>
    <t>PLO4:</t>
  </si>
  <si>
    <t>Investigation</t>
  </si>
  <si>
    <t>PLO5:</t>
  </si>
  <si>
    <t xml:space="preserve">Modern Tool Usage </t>
  </si>
  <si>
    <t>PLO6:</t>
  </si>
  <si>
    <t>The Engineer and Society</t>
  </si>
  <si>
    <t>PLO7:</t>
  </si>
  <si>
    <t>Environment and Sustainability</t>
  </si>
  <si>
    <t>PLO8:</t>
  </si>
  <si>
    <t>Ethics</t>
  </si>
  <si>
    <t>PLO9:</t>
  </si>
  <si>
    <t>Individual and Team Work</t>
  </si>
  <si>
    <t>For Final Exam</t>
  </si>
  <si>
    <t>PLO10:</t>
  </si>
  <si>
    <t>PLO11:</t>
  </si>
  <si>
    <t>Project management</t>
  </si>
  <si>
    <t>PLO12:</t>
  </si>
  <si>
    <t>Life long Learning</t>
  </si>
  <si>
    <t>Final Lab Exam</t>
  </si>
  <si>
    <t xml:space="preserve">Mid Lab Exam </t>
  </si>
  <si>
    <t>Shortened Forms</t>
  </si>
  <si>
    <t>Hardware Labs</t>
  </si>
  <si>
    <t>Lab Rubrics</t>
  </si>
  <si>
    <t>PLOs</t>
  </si>
  <si>
    <t>Hardware Rubric 1</t>
  </si>
  <si>
    <r>
      <rPr>
        <sz val="11"/>
        <color rgb="FF000000"/>
        <rFont val="Calibri"/>
        <family val="2"/>
      </rPr>
      <t>Setup Experiment</t>
    </r>
    <r>
      <rPr>
        <b/>
        <sz val="11"/>
        <color rgb="FF000000"/>
        <rFont val="Calibri"/>
        <family val="2"/>
      </rPr>
      <t xml:space="preserve"> </t>
    </r>
  </si>
  <si>
    <t>Hardware Rubric 2</t>
  </si>
  <si>
    <t xml:space="preserve">Interpret Results </t>
  </si>
  <si>
    <t xml:space="preserve"> Hardware Rubric 3</t>
  </si>
  <si>
    <t>R3</t>
  </si>
  <si>
    <t>Hardware Rubric 4</t>
  </si>
  <si>
    <t>R4</t>
  </si>
  <si>
    <t>Presentation</t>
  </si>
  <si>
    <t>Lab Exam</t>
  </si>
  <si>
    <t>project rubric 1</t>
  </si>
  <si>
    <t>Design</t>
  </si>
  <si>
    <t>project rubric 2</t>
  </si>
  <si>
    <t>Team Work</t>
  </si>
  <si>
    <t>Project rubric 3</t>
  </si>
  <si>
    <t>Lifelong Learning</t>
  </si>
  <si>
    <t>Software Labs</t>
  </si>
  <si>
    <t>Software Rubric 1</t>
  </si>
  <si>
    <t>r1</t>
  </si>
  <si>
    <t>Software Rubric 2</t>
  </si>
  <si>
    <t>r2</t>
  </si>
  <si>
    <t>Software Rubric 3</t>
  </si>
  <si>
    <t>r3</t>
  </si>
  <si>
    <r>
      <rPr>
        <b/>
        <sz val="18"/>
        <color theme="1"/>
        <rFont val="Times New Roman"/>
        <family val="1"/>
      </rPr>
      <t>Course Code:</t>
    </r>
    <r>
      <rPr>
        <sz val="18"/>
        <color theme="1"/>
        <rFont val="Times New Roman"/>
        <family val="1"/>
      </rPr>
      <t xml:space="preserve">  IETL 2052L    </t>
    </r>
    <r>
      <rPr>
        <b/>
        <sz val="18"/>
        <color theme="1"/>
        <rFont val="Times New Roman"/>
        <family val="1"/>
      </rPr>
      <t>Course Title:</t>
    </r>
    <r>
      <rPr>
        <sz val="18"/>
        <color theme="1"/>
        <rFont val="Times New Roman"/>
        <family val="1"/>
      </rPr>
      <t xml:space="preserve"> Introduction to Web Technologies Lab    </t>
    </r>
    <r>
      <rPr>
        <b/>
        <sz val="18"/>
        <color theme="1"/>
        <rFont val="Times New Roman"/>
        <family val="1"/>
      </rPr>
      <t>Instructor Name:Mr.</t>
    </r>
    <r>
      <rPr>
        <sz val="18"/>
        <color theme="1"/>
        <rFont val="Times New Roman"/>
        <family val="1"/>
      </rPr>
      <t xml:space="preserve"> Asad Javed     </t>
    </r>
    <r>
      <rPr>
        <b/>
        <sz val="18"/>
        <color theme="1"/>
        <rFont val="Times New Roman"/>
        <family val="1"/>
      </rPr>
      <t>Class and Semester:</t>
    </r>
    <r>
      <rPr>
        <sz val="18"/>
        <color theme="1"/>
        <rFont val="Times New Roman"/>
        <family val="1"/>
      </rPr>
      <t xml:space="preserve"> BSIET 4th     </t>
    </r>
    <r>
      <rPr>
        <b/>
        <sz val="18"/>
        <color theme="1"/>
        <rFont val="Times New Roman"/>
        <family val="1"/>
      </rPr>
      <t>Section</t>
    </r>
    <r>
      <rPr>
        <sz val="18"/>
        <color theme="1"/>
        <rFont val="Times New Roman"/>
        <family val="1"/>
      </rPr>
      <t xml:space="preserve">: A   </t>
    </r>
    <r>
      <rPr>
        <b/>
        <sz val="18"/>
        <color theme="1"/>
        <rFont val="Times New Roman"/>
        <family val="1"/>
      </rPr>
      <t xml:space="preserve"> Batch</t>
    </r>
    <r>
      <rPr>
        <sz val="18"/>
        <color theme="1"/>
        <rFont val="Times New Roman"/>
        <family val="1"/>
      </rPr>
      <t>: FA-24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</si>
</sst>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9]dd\ mmmm\ yyyy;@"/>
    <numFmt numFmtId="165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rgb="FF000000"/>
      <name val="Arial"/>
      <family val="2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2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4"/>
      <color rgb="FF000000"/>
      <name val="Times New Roman"/>
      <family val="1"/>
    </font>
    <font>
      <sz val="10"/>
      <name val="Times New Roman"/>
      <family val="1"/>
    </font>
    <font>
      <b/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2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BFBFBF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BFBFBF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BFBFBF"/>
      </right>
      <top style="medium">
        <color indexed="64"/>
      </top>
      <bottom/>
      <diagonal/>
    </border>
    <border>
      <left/>
      <right style="medium">
        <color rgb="FFBFBFBF"/>
      </right>
      <top style="medium">
        <color indexed="64"/>
      </top>
      <bottom/>
      <diagonal/>
    </border>
    <border>
      <left style="medium">
        <color rgb="FFBFBFBF"/>
      </left>
      <right style="medium">
        <color rgb="FFBFBFBF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BFBFBF"/>
      </right>
      <top/>
      <bottom style="medium">
        <color indexed="64"/>
      </bottom>
      <diagonal/>
    </border>
    <border>
      <left/>
      <right style="medium">
        <color rgb="FFBFBFBF"/>
      </right>
      <top/>
      <bottom style="medium">
        <color indexed="64"/>
      </bottom>
      <diagonal/>
    </border>
    <border>
      <left style="medium">
        <color rgb="FFBFBFBF"/>
      </left>
      <right style="medium">
        <color rgb="FFBFBFBF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3" fillId="2" borderId="7" xfId="0" applyNumberFormat="1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1" fontId="5" fillId="2" borderId="6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3" fillId="2" borderId="13" xfId="0" applyNumberFormat="1" applyFont="1" applyFill="1" applyBorder="1" applyAlignment="1">
      <alignment horizontal="center" vertical="center"/>
    </xf>
    <xf numFmtId="165" fontId="5" fillId="5" borderId="16" xfId="0" applyNumberFormat="1" applyFont="1" applyFill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" fontId="3" fillId="2" borderId="17" xfId="0" applyNumberFormat="1" applyFont="1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5" fillId="2" borderId="18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9" fillId="0" borderId="0" xfId="0" applyFont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12" fillId="0" borderId="23" xfId="0" applyFont="1" applyBorder="1" applyAlignment="1">
      <alignment horizontal="left" vertical="top" wrapText="1"/>
    </xf>
    <xf numFmtId="0" fontId="12" fillId="0" borderId="24" xfId="0" applyFont="1" applyBorder="1" applyAlignment="1">
      <alignment horizontal="left" vertical="top"/>
    </xf>
    <xf numFmtId="0" fontId="0" fillId="0" borderId="24" xfId="0" applyBorder="1" applyAlignment="1">
      <alignment horizontal="center" vertical="top"/>
    </xf>
    <xf numFmtId="0" fontId="13" fillId="0" borderId="23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2" fillId="0" borderId="25" xfId="0" applyFont="1" applyBorder="1" applyAlignment="1">
      <alignment horizontal="left" vertical="top" wrapText="1"/>
    </xf>
    <xf numFmtId="0" fontId="0" fillId="0" borderId="25" xfId="0" applyBorder="1" applyAlignment="1">
      <alignment horizontal="center" vertical="top"/>
    </xf>
    <xf numFmtId="0" fontId="13" fillId="0" borderId="1" xfId="0" applyFont="1" applyBorder="1" applyAlignment="1">
      <alignment horizontal="left" vertical="top"/>
    </xf>
    <xf numFmtId="0" fontId="11" fillId="7" borderId="27" xfId="0" applyFont="1" applyFill="1" applyBorder="1" applyAlignment="1">
      <alignment horizontal="center" vertical="center" wrapText="1"/>
    </xf>
    <xf numFmtId="0" fontId="11" fillId="7" borderId="31" xfId="0" applyFont="1" applyFill="1" applyBorder="1" applyAlignment="1">
      <alignment horizontal="center" vertical="center" wrapText="1"/>
    </xf>
    <xf numFmtId="0" fontId="12" fillId="0" borderId="24" xfId="0" applyFont="1" applyBorder="1" applyAlignment="1">
      <alignment horizontal="left" vertical="top" wrapText="1"/>
    </xf>
    <xf numFmtId="0" fontId="13" fillId="0" borderId="23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6" fillId="0" borderId="14" xfId="0" applyFont="1" applyBorder="1" applyAlignment="1">
      <alignment horizontal="left" vertical="top"/>
    </xf>
    <xf numFmtId="0" fontId="16" fillId="0" borderId="16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0" borderId="14" xfId="0" applyFont="1" applyBorder="1" applyAlignment="1">
      <alignment horizontal="left" vertical="top"/>
    </xf>
    <xf numFmtId="9" fontId="18" fillId="0" borderId="16" xfId="0" applyNumberFormat="1" applyFont="1" applyBorder="1" applyAlignment="1">
      <alignment horizontal="left" vertical="top"/>
    </xf>
    <xf numFmtId="0" fontId="17" fillId="0" borderId="7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top"/>
    </xf>
    <xf numFmtId="9" fontId="18" fillId="0" borderId="8" xfId="0" applyNumberFormat="1" applyFont="1" applyBorder="1" applyAlignment="1">
      <alignment horizontal="left" vertical="top"/>
    </xf>
    <xf numFmtId="0" fontId="17" fillId="0" borderId="13" xfId="0" applyFont="1" applyBorder="1" applyAlignment="1">
      <alignment horizontal="left" vertical="top"/>
    </xf>
    <xf numFmtId="9" fontId="18" fillId="0" borderId="18" xfId="0" applyNumberFormat="1" applyFont="1" applyBorder="1" applyAlignment="1">
      <alignment horizontal="left" vertical="top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left" vertical="top"/>
    </xf>
    <xf numFmtId="0" fontId="14" fillId="0" borderId="36" xfId="0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0" fillId="0" borderId="37" xfId="0" applyBorder="1" applyAlignment="1">
      <alignment horizontal="left" vertical="top"/>
    </xf>
    <xf numFmtId="0" fontId="19" fillId="0" borderId="12" xfId="0" applyFon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0" fillId="0" borderId="1" xfId="0" applyFont="1" applyBorder="1" applyAlignment="1">
      <alignment horizontal="left" vertical="top"/>
    </xf>
    <xf numFmtId="0" fontId="0" fillId="0" borderId="8" xfId="0" applyBorder="1" applyAlignment="1">
      <alignment horizontal="center" vertical="top"/>
    </xf>
    <xf numFmtId="0" fontId="12" fillId="0" borderId="1" xfId="0" applyFont="1" applyBorder="1" applyAlignment="1">
      <alignment horizontal="left" vertical="top"/>
    </xf>
    <xf numFmtId="0" fontId="13" fillId="0" borderId="8" xfId="0" applyFont="1" applyBorder="1" applyAlignment="1">
      <alignment horizontal="center" vertical="top"/>
    </xf>
    <xf numFmtId="0" fontId="12" fillId="0" borderId="8" xfId="0" applyFont="1" applyBorder="1" applyAlignment="1">
      <alignment horizontal="center" vertical="top"/>
    </xf>
    <xf numFmtId="0" fontId="13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top"/>
    </xf>
    <xf numFmtId="0" fontId="19" fillId="0" borderId="8" xfId="0" applyFont="1" applyBorder="1" applyAlignment="1">
      <alignment horizontal="left" vertical="top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9" fillId="0" borderId="18" xfId="0" applyFont="1" applyBorder="1" applyAlignment="1">
      <alignment horizontal="left" vertical="top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4" fillId="0" borderId="15" xfId="0" applyFont="1" applyBorder="1" applyAlignment="1">
      <alignment horizontal="right" vertical="center"/>
    </xf>
    <xf numFmtId="0" fontId="14" fillId="0" borderId="1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/>
    </xf>
    <xf numFmtId="0" fontId="0" fillId="0" borderId="18" xfId="0" applyBorder="1" applyAlignment="1">
      <alignment horizontal="center" vertical="center"/>
    </xf>
    <xf numFmtId="0" fontId="13" fillId="0" borderId="38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/>
    </xf>
    <xf numFmtId="1" fontId="3" fillId="2" borderId="33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23" xfId="0" applyNumberFormat="1" applyFont="1" applyBorder="1" applyAlignment="1">
      <alignment horizontal="center" vertical="center"/>
    </xf>
    <xf numFmtId="1" fontId="3" fillId="0" borderId="39" xfId="0" applyNumberFormat="1" applyFont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1" fontId="3" fillId="2" borderId="18" xfId="0" applyNumberFormat="1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2" fontId="3" fillId="2" borderId="42" xfId="0" applyNumberFormat="1" applyFont="1" applyFill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/>
    </xf>
    <xf numFmtId="1" fontId="6" fillId="2" borderId="43" xfId="0" applyNumberFormat="1" applyFont="1" applyFill="1" applyBorder="1" applyAlignment="1">
      <alignment horizontal="center" vertical="center"/>
    </xf>
    <xf numFmtId="0" fontId="0" fillId="0" borderId="45" xfId="0" applyBorder="1" applyAlignment="1">
      <alignment vertical="center" wrapText="1"/>
    </xf>
    <xf numFmtId="0" fontId="21" fillId="6" borderId="46" xfId="0" applyFont="1" applyFill="1" applyBorder="1" applyAlignment="1">
      <alignment horizontal="center" vertical="center" wrapText="1"/>
    </xf>
    <xf numFmtId="164" fontId="5" fillId="2" borderId="47" xfId="0" applyNumberFormat="1" applyFont="1" applyFill="1" applyBorder="1" applyAlignment="1">
      <alignment horizontal="center" vertical="center"/>
    </xf>
    <xf numFmtId="164" fontId="5" fillId="2" borderId="40" xfId="0" applyNumberFormat="1" applyFont="1" applyFill="1" applyBorder="1" applyAlignment="1">
      <alignment horizontal="center" vertical="center"/>
    </xf>
    <xf numFmtId="164" fontId="5" fillId="2" borderId="24" xfId="0" applyNumberFormat="1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1" fontId="6" fillId="5" borderId="12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7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6" fillId="6" borderId="44" xfId="0" applyNumberFormat="1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/>
    </xf>
    <xf numFmtId="164" fontId="5" fillId="2" borderId="29" xfId="0" applyNumberFormat="1" applyFont="1" applyFill="1" applyBorder="1" applyAlignment="1">
      <alignment horizontal="center" vertical="center"/>
    </xf>
    <xf numFmtId="164" fontId="5" fillId="2" borderId="11" xfId="0" applyNumberFormat="1" applyFont="1" applyFill="1" applyBorder="1" applyAlignment="1">
      <alignment horizontal="center" vertical="center"/>
    </xf>
    <xf numFmtId="164" fontId="5" fillId="2" borderId="16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7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164" fontId="5" fillId="2" borderId="10" xfId="0" applyNumberFormat="1" applyFont="1" applyFill="1" applyBorder="1" applyAlignment="1">
      <alignment horizontal="center" vertical="center"/>
    </xf>
    <xf numFmtId="164" fontId="5" fillId="2" borderId="12" xfId="0" applyNumberFormat="1" applyFont="1" applyFill="1" applyBorder="1" applyAlignment="1">
      <alignment horizontal="center" vertical="center"/>
    </xf>
    <xf numFmtId="49" fontId="6" fillId="6" borderId="36" xfId="0" applyNumberFormat="1" applyFont="1" applyFill="1" applyBorder="1" applyAlignment="1">
      <alignment horizontal="center" vertical="center" wrapText="1"/>
    </xf>
    <xf numFmtId="49" fontId="6" fillId="6" borderId="44" xfId="0" applyNumberFormat="1" applyFont="1" applyFill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164" fontId="5" fillId="2" borderId="14" xfId="0" applyNumberFormat="1" applyFont="1" applyFill="1" applyBorder="1" applyAlignment="1">
      <alignment horizontal="center" vertical="center"/>
    </xf>
    <xf numFmtId="164" fontId="5" fillId="2" borderId="15" xfId="0" applyNumberFormat="1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 wrapText="1"/>
    </xf>
    <xf numFmtId="0" fontId="11" fillId="7" borderId="21" xfId="0" applyFont="1" applyFill="1" applyBorder="1" applyAlignment="1">
      <alignment horizontal="center" vertical="center" wrapText="1"/>
    </xf>
    <xf numFmtId="0" fontId="11" fillId="7" borderId="20" xfId="0" applyFont="1" applyFill="1" applyBorder="1" applyAlignment="1">
      <alignment horizontal="center" vertical="center" wrapText="1"/>
    </xf>
    <xf numFmtId="0" fontId="11" fillId="7" borderId="2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1" fillId="7" borderId="26" xfId="0" applyFont="1" applyFill="1" applyBorder="1" applyAlignment="1">
      <alignment horizontal="center" vertical="center" wrapText="1"/>
    </xf>
    <xf numFmtId="0" fontId="11" fillId="7" borderId="30" xfId="0" applyFont="1" applyFill="1" applyBorder="1" applyAlignment="1">
      <alignment horizontal="center" vertical="center" wrapText="1"/>
    </xf>
    <xf numFmtId="0" fontId="11" fillId="7" borderId="28" xfId="0" applyFont="1" applyFill="1" applyBorder="1" applyAlignment="1">
      <alignment horizontal="center" vertical="center" wrapText="1"/>
    </xf>
    <xf numFmtId="0" fontId="11" fillId="7" borderId="32" xfId="0" applyFont="1" applyFill="1" applyBorder="1" applyAlignment="1">
      <alignment horizontal="center" vertical="center" wrapText="1"/>
    </xf>
    <xf numFmtId="0" fontId="14" fillId="8" borderId="2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 wrapText="1"/>
    </xf>
    <xf numFmtId="0" fontId="11" fillId="7" borderId="18" xfId="0" applyFont="1" applyFill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top"/>
    </xf>
    <xf numFmtId="0" fontId="15" fillId="0" borderId="35" xfId="0" applyFont="1" applyBorder="1" applyAlignment="1">
      <alignment horizontal="center" vertical="top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55"/>
  <sheetViews>
    <sheetView tabSelected="1" zoomScale="82" zoomScaleNormal="64" workbookViewId="0">
      <pane xSplit="2" ySplit="11" topLeftCell="C12" activePane="bottomRight" state="frozen"/>
      <selection pane="topRight" activeCell="D1" sqref="D1"/>
      <selection pane="bottomLeft" activeCell="A10" sqref="A10"/>
      <selection pane="bottomRight" activeCell="D9" sqref="D9"/>
    </sheetView>
  </sheetViews>
  <sheetFormatPr defaultColWidth="9.1796875" defaultRowHeight="14" x14ac:dyDescent="0.35"/>
  <cols>
    <col min="1" max="1" width="29" style="1" customWidth="1"/>
    <col min="2" max="2" width="45" style="12" bestFit="1" customWidth="1"/>
    <col min="3" max="14" width="7.54296875" style="12" customWidth="1"/>
    <col min="15" max="15" width="8.453125" style="1" customWidth="1"/>
    <col min="16" max="26" width="7.54296875" style="1" customWidth="1"/>
    <col min="27" max="27" width="8.54296875" style="1" customWidth="1"/>
    <col min="28" max="29" width="17.26953125" style="1" customWidth="1"/>
    <col min="30" max="30" width="16" style="1" customWidth="1"/>
    <col min="31" max="32" width="14.81640625" style="1" bestFit="1" customWidth="1"/>
    <col min="33" max="33" width="14.26953125" style="1" customWidth="1"/>
    <col min="34" max="35" width="12.81640625" style="1" customWidth="1"/>
    <col min="36" max="36" width="12.81640625" style="20" customWidth="1"/>
    <col min="37" max="37" width="18.54296875" style="1" customWidth="1"/>
    <col min="38" max="42" width="9.1796875" style="1"/>
    <col min="43" max="43" width="15.1796875" style="1" customWidth="1"/>
    <col min="44" max="44" width="15.26953125" style="1" customWidth="1"/>
    <col min="45" max="16384" width="9.1796875" style="1"/>
  </cols>
  <sheetData>
    <row r="1" spans="1:46" ht="26.25" customHeight="1" x14ac:dyDescent="0.3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</row>
    <row r="2" spans="1:46" ht="26.25" customHeight="1" x14ac:dyDescent="0.35">
      <c r="A2" s="122" t="s">
        <v>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</row>
    <row r="3" spans="1:46" ht="26.25" customHeight="1" x14ac:dyDescent="0.35">
      <c r="A3" s="122" t="s">
        <v>2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</row>
    <row r="4" spans="1:46" ht="26.25" customHeight="1" x14ac:dyDescent="0.35">
      <c r="A4" s="123" t="s">
        <v>193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</row>
    <row r="5" spans="1:46" ht="26.25" customHeight="1" thickBot="1" x14ac:dyDescent="0.4">
      <c r="A5" s="125" t="s">
        <v>3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4"/>
      <c r="AM5" s="124"/>
      <c r="AN5" s="124"/>
      <c r="AO5" s="107" t="s">
        <v>4</v>
      </c>
      <c r="AP5" s="107" t="s">
        <v>5</v>
      </c>
      <c r="AQ5" s="107" t="s">
        <v>6</v>
      </c>
      <c r="AR5" s="107" t="s">
        <v>6</v>
      </c>
      <c r="AS5" s="107" t="s">
        <v>6</v>
      </c>
      <c r="AT5" s="107" t="s">
        <v>6</v>
      </c>
    </row>
    <row r="6" spans="1:46" s="2" customFormat="1" ht="21" customHeight="1" x14ac:dyDescent="0.35">
      <c r="A6" s="138"/>
      <c r="B6" s="139"/>
      <c r="C6" s="129" t="s">
        <v>7</v>
      </c>
      <c r="D6" s="113"/>
      <c r="E6" s="112" t="s">
        <v>8</v>
      </c>
      <c r="F6" s="113"/>
      <c r="G6" s="112" t="s">
        <v>9</v>
      </c>
      <c r="H6" s="113"/>
      <c r="I6" s="112" t="s">
        <v>10</v>
      </c>
      <c r="J6" s="113"/>
      <c r="K6" s="112" t="s">
        <v>11</v>
      </c>
      <c r="L6" s="113"/>
      <c r="M6" s="112" t="s">
        <v>12</v>
      </c>
      <c r="N6" s="113"/>
      <c r="O6" s="112" t="s">
        <v>13</v>
      </c>
      <c r="P6" s="113"/>
      <c r="Q6" s="112" t="s">
        <v>14</v>
      </c>
      <c r="R6" s="113"/>
      <c r="S6" s="112" t="s">
        <v>15</v>
      </c>
      <c r="T6" s="113"/>
      <c r="U6" s="112" t="s">
        <v>16</v>
      </c>
      <c r="V6" s="113"/>
      <c r="W6" s="112" t="s">
        <v>17</v>
      </c>
      <c r="X6" s="113"/>
      <c r="Y6" s="112" t="s">
        <v>18</v>
      </c>
      <c r="Z6" s="113"/>
      <c r="AA6" s="99"/>
      <c r="AB6" s="114" t="s">
        <v>19</v>
      </c>
      <c r="AC6" s="140" t="s">
        <v>20</v>
      </c>
      <c r="AD6" s="141"/>
      <c r="AE6" s="114"/>
      <c r="AF6" s="129" t="s">
        <v>21</v>
      </c>
      <c r="AG6" s="113"/>
      <c r="AH6" s="113"/>
      <c r="AI6" s="113"/>
      <c r="AJ6" s="130"/>
      <c r="AK6" s="131" t="s">
        <v>22</v>
      </c>
      <c r="AL6" s="126" t="s">
        <v>23</v>
      </c>
      <c r="AM6" s="119" t="s">
        <v>24</v>
      </c>
      <c r="AN6" s="119" t="s">
        <v>25</v>
      </c>
      <c r="AO6" s="116" t="s">
        <v>26</v>
      </c>
      <c r="AP6" s="116" t="s">
        <v>27</v>
      </c>
      <c r="AQ6" s="119" t="s">
        <v>28</v>
      </c>
      <c r="AR6" s="119" t="s">
        <v>29</v>
      </c>
      <c r="AS6" s="119" t="s">
        <v>30</v>
      </c>
      <c r="AT6" s="119" t="s">
        <v>31</v>
      </c>
    </row>
    <row r="7" spans="1:46" s="2" customFormat="1" ht="21" customHeight="1" x14ac:dyDescent="0.35">
      <c r="A7" s="136"/>
      <c r="B7" s="137"/>
      <c r="C7" s="108" t="s">
        <v>32</v>
      </c>
      <c r="D7" s="21" t="s">
        <v>33</v>
      </c>
      <c r="E7" s="21" t="s">
        <v>32</v>
      </c>
      <c r="F7" s="21" t="s">
        <v>33</v>
      </c>
      <c r="G7" s="21" t="s">
        <v>32</v>
      </c>
      <c r="H7" s="21" t="s">
        <v>33</v>
      </c>
      <c r="I7" s="21" t="s">
        <v>32</v>
      </c>
      <c r="J7" s="21" t="s">
        <v>33</v>
      </c>
      <c r="K7" s="21" t="s">
        <v>32</v>
      </c>
      <c r="L7" s="21" t="s">
        <v>33</v>
      </c>
      <c r="M7" s="21" t="s">
        <v>32</v>
      </c>
      <c r="N7" s="21" t="s">
        <v>33</v>
      </c>
      <c r="O7" s="21" t="s">
        <v>32</v>
      </c>
      <c r="P7" s="21" t="s">
        <v>33</v>
      </c>
      <c r="Q7" s="21" t="s">
        <v>32</v>
      </c>
      <c r="R7" s="21" t="s">
        <v>33</v>
      </c>
      <c r="S7" s="21" t="s">
        <v>32</v>
      </c>
      <c r="T7" s="21" t="s">
        <v>33</v>
      </c>
      <c r="U7" s="21" t="s">
        <v>32</v>
      </c>
      <c r="V7" s="21" t="s">
        <v>33</v>
      </c>
      <c r="W7" s="21" t="s">
        <v>32</v>
      </c>
      <c r="X7" s="21" t="s">
        <v>33</v>
      </c>
      <c r="Y7" s="21" t="s">
        <v>32</v>
      </c>
      <c r="Z7" s="21" t="s">
        <v>33</v>
      </c>
      <c r="AA7" s="100" t="s">
        <v>34</v>
      </c>
      <c r="AB7" s="115"/>
      <c r="AC7" s="108" t="s">
        <v>35</v>
      </c>
      <c r="AD7" s="105" t="s">
        <v>36</v>
      </c>
      <c r="AE7" s="87" t="s">
        <v>34</v>
      </c>
      <c r="AF7" s="108" t="s">
        <v>37</v>
      </c>
      <c r="AG7" s="105" t="s">
        <v>38</v>
      </c>
      <c r="AH7" s="105" t="s">
        <v>39</v>
      </c>
      <c r="AI7" s="105" t="s">
        <v>40</v>
      </c>
      <c r="AJ7" s="9" t="s">
        <v>34</v>
      </c>
      <c r="AK7" s="132"/>
      <c r="AL7" s="127"/>
      <c r="AM7" s="120"/>
      <c r="AN7" s="120"/>
      <c r="AO7" s="117"/>
      <c r="AP7" s="117"/>
      <c r="AQ7" s="120"/>
      <c r="AR7" s="120"/>
      <c r="AS7" s="120"/>
      <c r="AT7" s="120"/>
    </row>
    <row r="8" spans="1:46" s="2" customFormat="1" ht="21" customHeight="1" x14ac:dyDescent="0.35">
      <c r="A8" s="136"/>
      <c r="B8" s="136"/>
      <c r="C8" s="105" t="s">
        <v>23</v>
      </c>
      <c r="D8" s="105" t="s">
        <v>24</v>
      </c>
      <c r="E8" s="105" t="s">
        <v>23</v>
      </c>
      <c r="F8" s="105" t="s">
        <v>41</v>
      </c>
      <c r="G8" s="105" t="s">
        <v>23</v>
      </c>
      <c r="H8" s="105" t="s">
        <v>24</v>
      </c>
      <c r="I8" s="105" t="s">
        <v>23</v>
      </c>
      <c r="J8" s="105" t="s">
        <v>24</v>
      </c>
      <c r="K8" s="105" t="s">
        <v>23</v>
      </c>
      <c r="L8" s="105" t="s">
        <v>24</v>
      </c>
      <c r="M8" s="105" t="s">
        <v>23</v>
      </c>
      <c r="N8" s="105" t="s">
        <v>24</v>
      </c>
      <c r="O8" s="105" t="s">
        <v>23</v>
      </c>
      <c r="P8" s="105" t="s">
        <v>24</v>
      </c>
      <c r="Q8" s="105" t="s">
        <v>23</v>
      </c>
      <c r="R8" s="105" t="s">
        <v>24</v>
      </c>
      <c r="S8" s="105" t="s">
        <v>23</v>
      </c>
      <c r="T8" s="105" t="s">
        <v>24</v>
      </c>
      <c r="U8" s="105" t="s">
        <v>23</v>
      </c>
      <c r="V8" s="105" t="s">
        <v>24</v>
      </c>
      <c r="W8" s="105" t="s">
        <v>23</v>
      </c>
      <c r="X8" s="105" t="s">
        <v>24</v>
      </c>
      <c r="Y8" s="105" t="s">
        <v>23</v>
      </c>
      <c r="Z8" s="105" t="s">
        <v>24</v>
      </c>
      <c r="AA8" s="101"/>
      <c r="AB8" s="115"/>
      <c r="AC8" s="105" t="s">
        <v>23</v>
      </c>
      <c r="AD8" s="105" t="s">
        <v>24</v>
      </c>
      <c r="AE8" s="87"/>
      <c r="AF8" s="108" t="s">
        <v>25</v>
      </c>
      <c r="AG8" s="108" t="s">
        <v>25</v>
      </c>
      <c r="AH8" s="21" t="s">
        <v>25</v>
      </c>
      <c r="AI8" s="21" t="s">
        <v>25</v>
      </c>
      <c r="AJ8" s="9"/>
      <c r="AK8" s="110"/>
      <c r="AL8" s="127"/>
      <c r="AM8" s="120"/>
      <c r="AN8" s="120"/>
      <c r="AO8" s="117"/>
      <c r="AP8" s="117"/>
      <c r="AQ8" s="120"/>
      <c r="AR8" s="120"/>
      <c r="AS8" s="120"/>
      <c r="AT8" s="120"/>
    </row>
    <row r="9" spans="1:46" s="2" customFormat="1" ht="30.65" customHeight="1" x14ac:dyDescent="0.35">
      <c r="A9" s="136"/>
      <c r="B9" s="137"/>
      <c r="C9" s="90">
        <v>5</v>
      </c>
      <c r="D9" s="81">
        <v>5</v>
      </c>
      <c r="E9" s="81">
        <v>5</v>
      </c>
      <c r="F9" s="4">
        <v>5</v>
      </c>
      <c r="G9" s="4">
        <v>5</v>
      </c>
      <c r="H9" s="81">
        <v>5</v>
      </c>
      <c r="I9" s="81">
        <v>5</v>
      </c>
      <c r="J9" s="4">
        <v>5</v>
      </c>
      <c r="K9" s="4">
        <v>5</v>
      </c>
      <c r="L9" s="81">
        <v>5</v>
      </c>
      <c r="M9" s="81">
        <v>5</v>
      </c>
      <c r="N9" s="4">
        <v>5</v>
      </c>
      <c r="O9" s="4">
        <v>5</v>
      </c>
      <c r="P9" s="81">
        <v>5</v>
      </c>
      <c r="Q9" s="81">
        <v>5</v>
      </c>
      <c r="R9" s="4">
        <v>5</v>
      </c>
      <c r="S9" s="4">
        <v>5</v>
      </c>
      <c r="T9" s="81">
        <v>5</v>
      </c>
      <c r="U9" s="81">
        <v>5</v>
      </c>
      <c r="V9" s="4">
        <v>5</v>
      </c>
      <c r="W9" s="81">
        <v>5</v>
      </c>
      <c r="X9" s="4">
        <v>5</v>
      </c>
      <c r="Y9" s="81">
        <v>5</v>
      </c>
      <c r="Z9" s="4">
        <v>5</v>
      </c>
      <c r="AA9" s="102">
        <f>SUM(C9:Z9)</f>
        <v>120</v>
      </c>
      <c r="AB9" s="8">
        <v>25</v>
      </c>
      <c r="AC9" s="7">
        <v>15</v>
      </c>
      <c r="AD9" s="3">
        <v>10</v>
      </c>
      <c r="AE9" s="17">
        <f>SUM(AC9:AD9)</f>
        <v>25</v>
      </c>
      <c r="AF9" s="7">
        <v>25</v>
      </c>
      <c r="AG9" s="3">
        <v>5</v>
      </c>
      <c r="AH9" s="3">
        <v>5</v>
      </c>
      <c r="AI9" s="3">
        <v>15</v>
      </c>
      <c r="AJ9" s="10">
        <f>SUM(AF9:AI9)</f>
        <v>50</v>
      </c>
      <c r="AK9" s="95">
        <f>SUM(AB9,AE9,AJ9)</f>
        <v>100</v>
      </c>
      <c r="AL9" s="127"/>
      <c r="AM9" s="120"/>
      <c r="AN9" s="120"/>
      <c r="AO9" s="117"/>
      <c r="AP9" s="117"/>
      <c r="AQ9" s="120"/>
      <c r="AR9" s="120"/>
      <c r="AS9" s="120"/>
      <c r="AT9" s="120"/>
    </row>
    <row r="10" spans="1:46" s="2" customFormat="1" ht="21" customHeight="1" thickBot="1" x14ac:dyDescent="0.4">
      <c r="A10" s="106"/>
      <c r="B10" s="86"/>
      <c r="C10" s="109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91"/>
      <c r="P10" s="91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82"/>
      <c r="AB10" s="88"/>
      <c r="AC10" s="13"/>
      <c r="AD10" s="16"/>
      <c r="AE10" s="88"/>
      <c r="AF10" s="13"/>
      <c r="AG10" s="16"/>
      <c r="AH10" s="16"/>
      <c r="AI10" s="82"/>
      <c r="AJ10" s="19"/>
      <c r="AK10" s="96"/>
      <c r="AL10" s="127"/>
      <c r="AM10" s="120"/>
      <c r="AN10" s="120"/>
      <c r="AO10" s="117"/>
      <c r="AP10" s="117"/>
      <c r="AQ10" s="120"/>
      <c r="AR10" s="120"/>
      <c r="AS10" s="120"/>
      <c r="AT10" s="120"/>
    </row>
    <row r="11" spans="1:46" s="6" customFormat="1" ht="35.25" customHeight="1" thickBot="1" x14ac:dyDescent="0.4">
      <c r="A11" s="98" t="s">
        <v>42</v>
      </c>
      <c r="B11" s="98" t="s">
        <v>43</v>
      </c>
      <c r="C11" s="133" t="s">
        <v>44</v>
      </c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5"/>
      <c r="AK11" s="89" t="s">
        <v>45</v>
      </c>
      <c r="AL11" s="128"/>
      <c r="AM11" s="121"/>
      <c r="AN11" s="121"/>
      <c r="AO11" s="118"/>
      <c r="AP11" s="118"/>
      <c r="AQ11" s="121"/>
      <c r="AR11" s="121"/>
      <c r="AS11" s="121"/>
      <c r="AT11" s="121"/>
    </row>
    <row r="12" spans="1:46" ht="29.15" customHeight="1" x14ac:dyDescent="0.35">
      <c r="A12" s="111" t="s">
        <v>46</v>
      </c>
      <c r="B12" s="111" t="s">
        <v>47</v>
      </c>
      <c r="C12" s="92">
        <v>0</v>
      </c>
      <c r="D12" s="92">
        <v>0</v>
      </c>
      <c r="E12" s="92">
        <v>0</v>
      </c>
      <c r="F12" s="92">
        <v>0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0</v>
      </c>
      <c r="Q12" s="92">
        <v>0</v>
      </c>
      <c r="R12" s="92">
        <v>0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92">
        <v>0</v>
      </c>
      <c r="Y12" s="92">
        <v>0</v>
      </c>
      <c r="Z12" s="92">
        <v>0</v>
      </c>
      <c r="AA12" s="93">
        <f t="shared" ref="AA12:AA52" si="0">SUM(C12:Z12)</f>
        <v>0</v>
      </c>
      <c r="AB12" s="94">
        <f t="shared" ref="AB12:AB52" si="1">AA12/$AA$9*$AB$9</f>
        <v>0</v>
      </c>
      <c r="AC12" s="15">
        <v>0</v>
      </c>
      <c r="AD12" s="11">
        <v>0</v>
      </c>
      <c r="AE12" s="14">
        <f>SUM(AC12:AD12)</f>
        <v>0</v>
      </c>
      <c r="AF12" s="18">
        <v>0</v>
      </c>
      <c r="AG12" s="5">
        <v>0</v>
      </c>
      <c r="AH12" s="5">
        <v>0</v>
      </c>
      <c r="AI12" s="5">
        <v>0</v>
      </c>
      <c r="AJ12" s="83">
        <f t="shared" ref="AJ12:AJ52" si="2">SUM(AF12:AI12)</f>
        <v>0</v>
      </c>
      <c r="AK12" s="103">
        <f t="shared" ref="AK12:AK52" si="3">SUM(AB12,AE12,AJ12)</f>
        <v>0</v>
      </c>
      <c r="AL12" s="85">
        <f t="shared" ref="AL12:AL52" si="4">SUM(C12,E12,G12,I12,K12,M12,O12,Q12,S12,U12,W12,Y12,AC12)/75*100</f>
        <v>0</v>
      </c>
      <c r="AM12" s="85">
        <f t="shared" ref="AM12:AM52" si="5">SUM(D12,F12,H12,J12,L12,N12,P12,R12,T12,V12,X12,Z12,AD12)/80*100</f>
        <v>0</v>
      </c>
      <c r="AN12" s="84">
        <f t="shared" ref="AN12:AN52" si="6">AG12/$AG$9*100</f>
        <v>0</v>
      </c>
      <c r="AO12" s="5">
        <f>AL12</f>
        <v>0</v>
      </c>
      <c r="AP12" s="84">
        <f>AM12</f>
        <v>0</v>
      </c>
      <c r="AQ12" s="84">
        <f t="shared" ref="AQ12:AQ52" si="7">AVERAGE(AJ12,AP12)</f>
        <v>0</v>
      </c>
      <c r="AR12" s="84">
        <f t="shared" ref="AR12:AR52" si="8">AVERAGE(AJ12,AO12)</f>
        <v>0</v>
      </c>
      <c r="AS12" s="84">
        <f t="shared" ref="AS12:AS52" si="9">AJ12</f>
        <v>0</v>
      </c>
      <c r="AT12" s="84">
        <f t="shared" ref="AT12:AT52" si="10">AJ12</f>
        <v>0</v>
      </c>
    </row>
    <row r="13" spans="1:46" ht="29.15" customHeight="1" x14ac:dyDescent="0.35">
      <c r="A13" s="111" t="s">
        <v>48</v>
      </c>
      <c r="B13" s="111" t="s">
        <v>49</v>
      </c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3">
        <f t="shared" si="0"/>
        <v>0</v>
      </c>
      <c r="AB13" s="94">
        <f t="shared" si="1"/>
        <v>0</v>
      </c>
      <c r="AC13" s="15"/>
      <c r="AD13" s="11"/>
      <c r="AE13" s="14">
        <f t="shared" ref="AE13:AE52" si="11">SUM(AC13:AD13)</f>
        <v>0</v>
      </c>
      <c r="AF13" s="18"/>
      <c r="AG13" s="5"/>
      <c r="AH13" s="5"/>
      <c r="AI13" s="5"/>
      <c r="AJ13" s="83">
        <f t="shared" si="2"/>
        <v>0</v>
      </c>
      <c r="AK13" s="103">
        <f t="shared" si="3"/>
        <v>0</v>
      </c>
      <c r="AL13" s="85">
        <f t="shared" si="4"/>
        <v>0</v>
      </c>
      <c r="AM13" s="85">
        <f t="shared" si="5"/>
        <v>0</v>
      </c>
      <c r="AN13" s="84">
        <f t="shared" si="6"/>
        <v>0</v>
      </c>
      <c r="AO13" s="5">
        <f t="shared" ref="AO13:AO52" si="12">AL13</f>
        <v>0</v>
      </c>
      <c r="AP13" s="84">
        <f t="shared" ref="AP13:AP52" si="13">AM13</f>
        <v>0</v>
      </c>
      <c r="AQ13" s="84">
        <f t="shared" si="7"/>
        <v>0</v>
      </c>
      <c r="AR13" s="84">
        <f t="shared" si="8"/>
        <v>0</v>
      </c>
      <c r="AS13" s="84">
        <f t="shared" si="9"/>
        <v>0</v>
      </c>
      <c r="AT13" s="84">
        <f t="shared" si="10"/>
        <v>0</v>
      </c>
    </row>
    <row r="14" spans="1:46" ht="29.15" customHeight="1" x14ac:dyDescent="0.35">
      <c r="A14" s="111" t="s">
        <v>50</v>
      </c>
      <c r="B14" s="111" t="s">
        <v>51</v>
      </c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3">
        <f t="shared" si="0"/>
        <v>0</v>
      </c>
      <c r="AB14" s="94">
        <f t="shared" si="1"/>
        <v>0</v>
      </c>
      <c r="AC14" s="15"/>
      <c r="AD14" s="11"/>
      <c r="AE14" s="14">
        <f t="shared" si="11"/>
        <v>0</v>
      </c>
      <c r="AF14" s="18"/>
      <c r="AG14" s="5"/>
      <c r="AH14" s="5"/>
      <c r="AI14" s="5"/>
      <c r="AJ14" s="83">
        <f t="shared" si="2"/>
        <v>0</v>
      </c>
      <c r="AK14" s="103">
        <f t="shared" si="3"/>
        <v>0</v>
      </c>
      <c r="AL14" s="85">
        <f t="shared" si="4"/>
        <v>0</v>
      </c>
      <c r="AM14" s="85">
        <f t="shared" si="5"/>
        <v>0</v>
      </c>
      <c r="AN14" s="84">
        <f t="shared" si="6"/>
        <v>0</v>
      </c>
      <c r="AO14" s="5">
        <f t="shared" si="12"/>
        <v>0</v>
      </c>
      <c r="AP14" s="84">
        <f t="shared" si="13"/>
        <v>0</v>
      </c>
      <c r="AQ14" s="84">
        <f t="shared" si="7"/>
        <v>0</v>
      </c>
      <c r="AR14" s="84">
        <f t="shared" si="8"/>
        <v>0</v>
      </c>
      <c r="AS14" s="84">
        <f t="shared" si="9"/>
        <v>0</v>
      </c>
      <c r="AT14" s="84">
        <f t="shared" si="10"/>
        <v>0</v>
      </c>
    </row>
    <row r="15" spans="1:46" ht="29.15" customHeight="1" x14ac:dyDescent="0.35">
      <c r="A15" s="111" t="s">
        <v>52</v>
      </c>
      <c r="B15" s="111" t="s">
        <v>53</v>
      </c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3">
        <f t="shared" si="0"/>
        <v>0</v>
      </c>
      <c r="AB15" s="94">
        <f t="shared" si="1"/>
        <v>0</v>
      </c>
      <c r="AC15" s="15"/>
      <c r="AD15" s="11"/>
      <c r="AE15" s="14">
        <f t="shared" si="11"/>
        <v>0</v>
      </c>
      <c r="AF15" s="18"/>
      <c r="AG15" s="5"/>
      <c r="AH15" s="5"/>
      <c r="AI15" s="5"/>
      <c r="AJ15" s="83">
        <f t="shared" si="2"/>
        <v>0</v>
      </c>
      <c r="AK15" s="103">
        <f t="shared" si="3"/>
        <v>0</v>
      </c>
      <c r="AL15" s="85">
        <f t="shared" si="4"/>
        <v>0</v>
      </c>
      <c r="AM15" s="85">
        <f t="shared" si="5"/>
        <v>0</v>
      </c>
      <c r="AN15" s="84">
        <f t="shared" si="6"/>
        <v>0</v>
      </c>
      <c r="AO15" s="5">
        <f t="shared" si="12"/>
        <v>0</v>
      </c>
      <c r="AP15" s="84">
        <f t="shared" si="13"/>
        <v>0</v>
      </c>
      <c r="AQ15" s="84">
        <f t="shared" si="7"/>
        <v>0</v>
      </c>
      <c r="AR15" s="84">
        <f t="shared" si="8"/>
        <v>0</v>
      </c>
      <c r="AS15" s="84">
        <f t="shared" si="9"/>
        <v>0</v>
      </c>
      <c r="AT15" s="84">
        <f t="shared" si="10"/>
        <v>0</v>
      </c>
    </row>
    <row r="16" spans="1:46" ht="29.15" customHeight="1" x14ac:dyDescent="0.35">
      <c r="A16" s="111" t="s">
        <v>54</v>
      </c>
      <c r="B16" s="111" t="s">
        <v>55</v>
      </c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3">
        <f t="shared" si="0"/>
        <v>0</v>
      </c>
      <c r="AB16" s="94">
        <f t="shared" si="1"/>
        <v>0</v>
      </c>
      <c r="AC16" s="15"/>
      <c r="AD16" s="11"/>
      <c r="AE16" s="14">
        <f t="shared" si="11"/>
        <v>0</v>
      </c>
      <c r="AF16" s="18"/>
      <c r="AG16" s="5"/>
      <c r="AH16" s="5"/>
      <c r="AI16" s="5"/>
      <c r="AJ16" s="83">
        <f t="shared" si="2"/>
        <v>0</v>
      </c>
      <c r="AK16" s="103">
        <f t="shared" si="3"/>
        <v>0</v>
      </c>
      <c r="AL16" s="85">
        <f t="shared" si="4"/>
        <v>0</v>
      </c>
      <c r="AM16" s="85">
        <f t="shared" si="5"/>
        <v>0</v>
      </c>
      <c r="AN16" s="84">
        <f t="shared" si="6"/>
        <v>0</v>
      </c>
      <c r="AO16" s="5">
        <f t="shared" si="12"/>
        <v>0</v>
      </c>
      <c r="AP16" s="84">
        <f t="shared" si="13"/>
        <v>0</v>
      </c>
      <c r="AQ16" s="84">
        <f t="shared" si="7"/>
        <v>0</v>
      </c>
      <c r="AR16" s="84">
        <f t="shared" si="8"/>
        <v>0</v>
      </c>
      <c r="AS16" s="84">
        <f t="shared" si="9"/>
        <v>0</v>
      </c>
      <c r="AT16" s="84">
        <f t="shared" si="10"/>
        <v>0</v>
      </c>
    </row>
    <row r="17" spans="1:46" ht="29.15" customHeight="1" x14ac:dyDescent="0.35">
      <c r="A17" s="111" t="s">
        <v>56</v>
      </c>
      <c r="B17" s="111" t="s">
        <v>57</v>
      </c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3">
        <f t="shared" si="0"/>
        <v>0</v>
      </c>
      <c r="AB17" s="94">
        <f t="shared" si="1"/>
        <v>0</v>
      </c>
      <c r="AC17" s="15"/>
      <c r="AD17" s="11"/>
      <c r="AE17" s="14">
        <f t="shared" si="11"/>
        <v>0</v>
      </c>
      <c r="AF17" s="18"/>
      <c r="AG17" s="5"/>
      <c r="AH17" s="5"/>
      <c r="AI17" s="5"/>
      <c r="AJ17" s="83">
        <f t="shared" si="2"/>
        <v>0</v>
      </c>
      <c r="AK17" s="103">
        <f t="shared" si="3"/>
        <v>0</v>
      </c>
      <c r="AL17" s="85">
        <f t="shared" si="4"/>
        <v>0</v>
      </c>
      <c r="AM17" s="85">
        <f t="shared" si="5"/>
        <v>0</v>
      </c>
      <c r="AN17" s="84">
        <f t="shared" si="6"/>
        <v>0</v>
      </c>
      <c r="AO17" s="5">
        <f t="shared" si="12"/>
        <v>0</v>
      </c>
      <c r="AP17" s="84">
        <f t="shared" si="13"/>
        <v>0</v>
      </c>
      <c r="AQ17" s="84">
        <f t="shared" si="7"/>
        <v>0</v>
      </c>
      <c r="AR17" s="84">
        <f t="shared" si="8"/>
        <v>0</v>
      </c>
      <c r="AS17" s="84">
        <f t="shared" si="9"/>
        <v>0</v>
      </c>
      <c r="AT17" s="84">
        <f t="shared" si="10"/>
        <v>0</v>
      </c>
    </row>
    <row r="18" spans="1:46" ht="29.15" customHeight="1" x14ac:dyDescent="0.35">
      <c r="A18" s="111" t="s">
        <v>58</v>
      </c>
      <c r="B18" s="111" t="s">
        <v>59</v>
      </c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3">
        <f t="shared" si="0"/>
        <v>0</v>
      </c>
      <c r="AB18" s="94">
        <f t="shared" si="1"/>
        <v>0</v>
      </c>
      <c r="AC18" s="15"/>
      <c r="AD18" s="11"/>
      <c r="AE18" s="14">
        <f t="shared" si="11"/>
        <v>0</v>
      </c>
      <c r="AF18" s="18"/>
      <c r="AG18" s="5"/>
      <c r="AH18" s="5"/>
      <c r="AI18" s="5"/>
      <c r="AJ18" s="83">
        <f t="shared" si="2"/>
        <v>0</v>
      </c>
      <c r="AK18" s="103">
        <f t="shared" si="3"/>
        <v>0</v>
      </c>
      <c r="AL18" s="85">
        <f t="shared" si="4"/>
        <v>0</v>
      </c>
      <c r="AM18" s="85">
        <f t="shared" si="5"/>
        <v>0</v>
      </c>
      <c r="AN18" s="84">
        <f t="shared" si="6"/>
        <v>0</v>
      </c>
      <c r="AO18" s="5">
        <f t="shared" si="12"/>
        <v>0</v>
      </c>
      <c r="AP18" s="84">
        <f t="shared" si="13"/>
        <v>0</v>
      </c>
      <c r="AQ18" s="84">
        <f t="shared" si="7"/>
        <v>0</v>
      </c>
      <c r="AR18" s="84">
        <f t="shared" si="8"/>
        <v>0</v>
      </c>
      <c r="AS18" s="84">
        <f t="shared" si="9"/>
        <v>0</v>
      </c>
      <c r="AT18" s="84">
        <f t="shared" si="10"/>
        <v>0</v>
      </c>
    </row>
    <row r="19" spans="1:46" ht="29.15" customHeight="1" x14ac:dyDescent="0.35">
      <c r="A19" s="111" t="s">
        <v>60</v>
      </c>
      <c r="B19" s="111" t="s">
        <v>61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3">
        <f t="shared" si="0"/>
        <v>0</v>
      </c>
      <c r="AB19" s="94">
        <f t="shared" si="1"/>
        <v>0</v>
      </c>
      <c r="AC19" s="15"/>
      <c r="AD19" s="11"/>
      <c r="AE19" s="14">
        <f t="shared" si="11"/>
        <v>0</v>
      </c>
      <c r="AF19" s="18"/>
      <c r="AG19" s="5"/>
      <c r="AH19" s="5"/>
      <c r="AI19" s="5"/>
      <c r="AJ19" s="83">
        <f t="shared" si="2"/>
        <v>0</v>
      </c>
      <c r="AK19" s="103">
        <f t="shared" si="3"/>
        <v>0</v>
      </c>
      <c r="AL19" s="85">
        <f t="shared" si="4"/>
        <v>0</v>
      </c>
      <c r="AM19" s="85">
        <f t="shared" si="5"/>
        <v>0</v>
      </c>
      <c r="AN19" s="84">
        <f t="shared" si="6"/>
        <v>0</v>
      </c>
      <c r="AO19" s="5">
        <f t="shared" si="12"/>
        <v>0</v>
      </c>
      <c r="AP19" s="84">
        <f t="shared" si="13"/>
        <v>0</v>
      </c>
      <c r="AQ19" s="84">
        <f t="shared" si="7"/>
        <v>0</v>
      </c>
      <c r="AR19" s="84">
        <f t="shared" si="8"/>
        <v>0</v>
      </c>
      <c r="AS19" s="84">
        <f t="shared" si="9"/>
        <v>0</v>
      </c>
      <c r="AT19" s="84">
        <f t="shared" si="10"/>
        <v>0</v>
      </c>
    </row>
    <row r="20" spans="1:46" ht="29.15" customHeight="1" x14ac:dyDescent="0.35">
      <c r="A20" s="111" t="s">
        <v>62</v>
      </c>
      <c r="B20" s="111" t="s">
        <v>63</v>
      </c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3">
        <f t="shared" si="0"/>
        <v>0</v>
      </c>
      <c r="AB20" s="94">
        <f t="shared" si="1"/>
        <v>0</v>
      </c>
      <c r="AC20" s="15"/>
      <c r="AD20" s="11"/>
      <c r="AE20" s="14">
        <f t="shared" si="11"/>
        <v>0</v>
      </c>
      <c r="AF20" s="18"/>
      <c r="AG20" s="5"/>
      <c r="AH20" s="5"/>
      <c r="AI20" s="5"/>
      <c r="AJ20" s="83">
        <f t="shared" si="2"/>
        <v>0</v>
      </c>
      <c r="AK20" s="103">
        <f t="shared" si="3"/>
        <v>0</v>
      </c>
      <c r="AL20" s="85">
        <f t="shared" si="4"/>
        <v>0</v>
      </c>
      <c r="AM20" s="85">
        <f t="shared" si="5"/>
        <v>0</v>
      </c>
      <c r="AN20" s="84">
        <f t="shared" si="6"/>
        <v>0</v>
      </c>
      <c r="AO20" s="5">
        <f t="shared" si="12"/>
        <v>0</v>
      </c>
      <c r="AP20" s="84">
        <f t="shared" si="13"/>
        <v>0</v>
      </c>
      <c r="AQ20" s="84">
        <f t="shared" si="7"/>
        <v>0</v>
      </c>
      <c r="AR20" s="84">
        <f t="shared" si="8"/>
        <v>0</v>
      </c>
      <c r="AS20" s="84">
        <f t="shared" si="9"/>
        <v>0</v>
      </c>
      <c r="AT20" s="84">
        <f t="shared" si="10"/>
        <v>0</v>
      </c>
    </row>
    <row r="21" spans="1:46" ht="29.15" customHeight="1" x14ac:dyDescent="0.35">
      <c r="A21" s="111" t="s">
        <v>64</v>
      </c>
      <c r="B21" s="111" t="s">
        <v>65</v>
      </c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3">
        <f t="shared" si="0"/>
        <v>0</v>
      </c>
      <c r="AB21" s="94">
        <f t="shared" si="1"/>
        <v>0</v>
      </c>
      <c r="AC21" s="15"/>
      <c r="AD21" s="11"/>
      <c r="AE21" s="14">
        <f t="shared" si="11"/>
        <v>0</v>
      </c>
      <c r="AF21" s="18"/>
      <c r="AG21" s="5"/>
      <c r="AH21" s="5"/>
      <c r="AI21" s="5"/>
      <c r="AJ21" s="83">
        <f t="shared" si="2"/>
        <v>0</v>
      </c>
      <c r="AK21" s="103">
        <f t="shared" si="3"/>
        <v>0</v>
      </c>
      <c r="AL21" s="85">
        <f t="shared" si="4"/>
        <v>0</v>
      </c>
      <c r="AM21" s="85">
        <f t="shared" si="5"/>
        <v>0</v>
      </c>
      <c r="AN21" s="84">
        <f t="shared" si="6"/>
        <v>0</v>
      </c>
      <c r="AO21" s="5">
        <f t="shared" si="12"/>
        <v>0</v>
      </c>
      <c r="AP21" s="84">
        <f t="shared" si="13"/>
        <v>0</v>
      </c>
      <c r="AQ21" s="84">
        <f t="shared" si="7"/>
        <v>0</v>
      </c>
      <c r="AR21" s="84">
        <f t="shared" si="8"/>
        <v>0</v>
      </c>
      <c r="AS21" s="84">
        <f t="shared" si="9"/>
        <v>0</v>
      </c>
      <c r="AT21" s="84">
        <f t="shared" si="10"/>
        <v>0</v>
      </c>
    </row>
    <row r="22" spans="1:46" ht="29.15" customHeight="1" x14ac:dyDescent="0.35">
      <c r="A22" s="111" t="s">
        <v>66</v>
      </c>
      <c r="B22" s="111" t="s">
        <v>67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3">
        <f t="shared" si="0"/>
        <v>0</v>
      </c>
      <c r="AB22" s="94">
        <f t="shared" si="1"/>
        <v>0</v>
      </c>
      <c r="AC22" s="15"/>
      <c r="AD22" s="11"/>
      <c r="AE22" s="14">
        <f t="shared" si="11"/>
        <v>0</v>
      </c>
      <c r="AF22" s="18"/>
      <c r="AG22" s="5"/>
      <c r="AH22" s="5"/>
      <c r="AI22" s="5"/>
      <c r="AJ22" s="83">
        <f t="shared" si="2"/>
        <v>0</v>
      </c>
      <c r="AK22" s="103">
        <f t="shared" si="3"/>
        <v>0</v>
      </c>
      <c r="AL22" s="85">
        <f t="shared" si="4"/>
        <v>0</v>
      </c>
      <c r="AM22" s="85">
        <f t="shared" si="5"/>
        <v>0</v>
      </c>
      <c r="AN22" s="84">
        <f t="shared" si="6"/>
        <v>0</v>
      </c>
      <c r="AO22" s="5">
        <f t="shared" si="12"/>
        <v>0</v>
      </c>
      <c r="AP22" s="84">
        <f t="shared" si="13"/>
        <v>0</v>
      </c>
      <c r="AQ22" s="84">
        <f t="shared" si="7"/>
        <v>0</v>
      </c>
      <c r="AR22" s="84">
        <f t="shared" si="8"/>
        <v>0</v>
      </c>
      <c r="AS22" s="84">
        <f t="shared" si="9"/>
        <v>0</v>
      </c>
      <c r="AT22" s="84">
        <f t="shared" si="10"/>
        <v>0</v>
      </c>
    </row>
    <row r="23" spans="1:46" ht="29.15" customHeight="1" x14ac:dyDescent="0.35">
      <c r="A23" s="111" t="s">
        <v>68</v>
      </c>
      <c r="B23" s="111" t="s">
        <v>69</v>
      </c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3">
        <f t="shared" si="0"/>
        <v>0</v>
      </c>
      <c r="AB23" s="94">
        <f t="shared" si="1"/>
        <v>0</v>
      </c>
      <c r="AC23" s="15"/>
      <c r="AD23" s="11"/>
      <c r="AE23" s="14">
        <f t="shared" si="11"/>
        <v>0</v>
      </c>
      <c r="AF23" s="18"/>
      <c r="AG23" s="5"/>
      <c r="AH23" s="5"/>
      <c r="AI23" s="5"/>
      <c r="AJ23" s="83">
        <f t="shared" si="2"/>
        <v>0</v>
      </c>
      <c r="AK23" s="103">
        <f t="shared" si="3"/>
        <v>0</v>
      </c>
      <c r="AL23" s="85">
        <f t="shared" si="4"/>
        <v>0</v>
      </c>
      <c r="AM23" s="85">
        <f t="shared" si="5"/>
        <v>0</v>
      </c>
      <c r="AN23" s="84">
        <f t="shared" si="6"/>
        <v>0</v>
      </c>
      <c r="AO23" s="5">
        <f t="shared" si="12"/>
        <v>0</v>
      </c>
      <c r="AP23" s="84">
        <f t="shared" si="13"/>
        <v>0</v>
      </c>
      <c r="AQ23" s="84">
        <f t="shared" si="7"/>
        <v>0</v>
      </c>
      <c r="AR23" s="84">
        <f t="shared" si="8"/>
        <v>0</v>
      </c>
      <c r="AS23" s="84">
        <f t="shared" si="9"/>
        <v>0</v>
      </c>
      <c r="AT23" s="84">
        <f t="shared" si="10"/>
        <v>0</v>
      </c>
    </row>
    <row r="24" spans="1:46" ht="29.15" customHeight="1" x14ac:dyDescent="0.35">
      <c r="A24" s="111" t="s">
        <v>70</v>
      </c>
      <c r="B24" s="111" t="s">
        <v>71</v>
      </c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3">
        <f t="shared" si="0"/>
        <v>0</v>
      </c>
      <c r="AB24" s="94">
        <f t="shared" si="1"/>
        <v>0</v>
      </c>
      <c r="AC24" s="15"/>
      <c r="AD24" s="11"/>
      <c r="AE24" s="14">
        <f t="shared" si="11"/>
        <v>0</v>
      </c>
      <c r="AF24" s="18"/>
      <c r="AG24" s="5"/>
      <c r="AH24" s="5"/>
      <c r="AI24" s="5"/>
      <c r="AJ24" s="83">
        <f t="shared" si="2"/>
        <v>0</v>
      </c>
      <c r="AK24" s="103">
        <f t="shared" si="3"/>
        <v>0</v>
      </c>
      <c r="AL24" s="85">
        <f t="shared" si="4"/>
        <v>0</v>
      </c>
      <c r="AM24" s="85">
        <f t="shared" si="5"/>
        <v>0</v>
      </c>
      <c r="AN24" s="84">
        <f t="shared" si="6"/>
        <v>0</v>
      </c>
      <c r="AO24" s="5">
        <f t="shared" si="12"/>
        <v>0</v>
      </c>
      <c r="AP24" s="84">
        <f t="shared" si="13"/>
        <v>0</v>
      </c>
      <c r="AQ24" s="84">
        <f t="shared" si="7"/>
        <v>0</v>
      </c>
      <c r="AR24" s="84">
        <f t="shared" si="8"/>
        <v>0</v>
      </c>
      <c r="AS24" s="84">
        <f t="shared" si="9"/>
        <v>0</v>
      </c>
      <c r="AT24" s="84">
        <f t="shared" si="10"/>
        <v>0</v>
      </c>
    </row>
    <row r="25" spans="1:46" ht="29.15" customHeight="1" x14ac:dyDescent="0.35">
      <c r="A25" s="111" t="s">
        <v>72</v>
      </c>
      <c r="B25" s="111" t="s">
        <v>73</v>
      </c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3">
        <f t="shared" si="0"/>
        <v>0</v>
      </c>
      <c r="AB25" s="94">
        <f t="shared" si="1"/>
        <v>0</v>
      </c>
      <c r="AC25" s="15"/>
      <c r="AD25" s="11"/>
      <c r="AE25" s="14">
        <f t="shared" si="11"/>
        <v>0</v>
      </c>
      <c r="AF25" s="18"/>
      <c r="AG25" s="5"/>
      <c r="AH25" s="5"/>
      <c r="AI25" s="5"/>
      <c r="AJ25" s="83">
        <f t="shared" si="2"/>
        <v>0</v>
      </c>
      <c r="AK25" s="103">
        <f t="shared" si="3"/>
        <v>0</v>
      </c>
      <c r="AL25" s="85">
        <f t="shared" si="4"/>
        <v>0</v>
      </c>
      <c r="AM25" s="85">
        <f t="shared" si="5"/>
        <v>0</v>
      </c>
      <c r="AN25" s="84">
        <f t="shared" si="6"/>
        <v>0</v>
      </c>
      <c r="AO25" s="5">
        <f t="shared" si="12"/>
        <v>0</v>
      </c>
      <c r="AP25" s="84">
        <f t="shared" si="13"/>
        <v>0</v>
      </c>
      <c r="AQ25" s="84">
        <f t="shared" si="7"/>
        <v>0</v>
      </c>
      <c r="AR25" s="84">
        <f t="shared" si="8"/>
        <v>0</v>
      </c>
      <c r="AS25" s="84">
        <f t="shared" si="9"/>
        <v>0</v>
      </c>
      <c r="AT25" s="84">
        <f t="shared" si="10"/>
        <v>0</v>
      </c>
    </row>
    <row r="26" spans="1:46" ht="29.15" customHeight="1" x14ac:dyDescent="0.35">
      <c r="A26" s="111" t="s">
        <v>74</v>
      </c>
      <c r="B26" s="111" t="s">
        <v>75</v>
      </c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3">
        <f t="shared" si="0"/>
        <v>0</v>
      </c>
      <c r="AB26" s="94">
        <f t="shared" si="1"/>
        <v>0</v>
      </c>
      <c r="AC26" s="15"/>
      <c r="AD26" s="11"/>
      <c r="AE26" s="14">
        <f t="shared" si="11"/>
        <v>0</v>
      </c>
      <c r="AF26" s="18"/>
      <c r="AG26" s="5"/>
      <c r="AH26" s="5"/>
      <c r="AI26" s="5"/>
      <c r="AJ26" s="83">
        <f t="shared" si="2"/>
        <v>0</v>
      </c>
      <c r="AK26" s="103">
        <f t="shared" si="3"/>
        <v>0</v>
      </c>
      <c r="AL26" s="85">
        <f t="shared" si="4"/>
        <v>0</v>
      </c>
      <c r="AM26" s="85">
        <f t="shared" si="5"/>
        <v>0</v>
      </c>
      <c r="AN26" s="84">
        <f t="shared" si="6"/>
        <v>0</v>
      </c>
      <c r="AO26" s="5">
        <f t="shared" si="12"/>
        <v>0</v>
      </c>
      <c r="AP26" s="84">
        <f t="shared" si="13"/>
        <v>0</v>
      </c>
      <c r="AQ26" s="84">
        <f t="shared" si="7"/>
        <v>0</v>
      </c>
      <c r="AR26" s="84">
        <f t="shared" si="8"/>
        <v>0</v>
      </c>
      <c r="AS26" s="84">
        <f t="shared" si="9"/>
        <v>0</v>
      </c>
      <c r="AT26" s="84">
        <f t="shared" si="10"/>
        <v>0</v>
      </c>
    </row>
    <row r="27" spans="1:46" ht="29.15" customHeight="1" x14ac:dyDescent="0.35">
      <c r="A27" s="111" t="s">
        <v>76</v>
      </c>
      <c r="B27" s="111" t="s">
        <v>77</v>
      </c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3">
        <f t="shared" si="0"/>
        <v>0</v>
      </c>
      <c r="AB27" s="94">
        <f t="shared" si="1"/>
        <v>0</v>
      </c>
      <c r="AC27" s="15"/>
      <c r="AD27" s="11"/>
      <c r="AE27" s="14">
        <f t="shared" si="11"/>
        <v>0</v>
      </c>
      <c r="AF27" s="18"/>
      <c r="AG27" s="5"/>
      <c r="AH27" s="5"/>
      <c r="AI27" s="5"/>
      <c r="AJ27" s="83">
        <f t="shared" si="2"/>
        <v>0</v>
      </c>
      <c r="AK27" s="103">
        <f t="shared" si="3"/>
        <v>0</v>
      </c>
      <c r="AL27" s="85">
        <f t="shared" si="4"/>
        <v>0</v>
      </c>
      <c r="AM27" s="85">
        <f t="shared" si="5"/>
        <v>0</v>
      </c>
      <c r="AN27" s="84">
        <f t="shared" si="6"/>
        <v>0</v>
      </c>
      <c r="AO27" s="5">
        <f t="shared" si="12"/>
        <v>0</v>
      </c>
      <c r="AP27" s="84">
        <f t="shared" si="13"/>
        <v>0</v>
      </c>
      <c r="AQ27" s="84">
        <f t="shared" si="7"/>
        <v>0</v>
      </c>
      <c r="AR27" s="84">
        <f t="shared" si="8"/>
        <v>0</v>
      </c>
      <c r="AS27" s="84">
        <f t="shared" si="9"/>
        <v>0</v>
      </c>
      <c r="AT27" s="84">
        <f t="shared" si="10"/>
        <v>0</v>
      </c>
    </row>
    <row r="28" spans="1:46" ht="29.15" customHeight="1" x14ac:dyDescent="0.35">
      <c r="A28" s="111" t="s">
        <v>78</v>
      </c>
      <c r="B28" s="111" t="s">
        <v>79</v>
      </c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3">
        <f t="shared" si="0"/>
        <v>0</v>
      </c>
      <c r="AB28" s="94">
        <f t="shared" si="1"/>
        <v>0</v>
      </c>
      <c r="AC28" s="15"/>
      <c r="AD28" s="11"/>
      <c r="AE28" s="14">
        <f t="shared" si="11"/>
        <v>0</v>
      </c>
      <c r="AF28" s="18"/>
      <c r="AG28" s="5"/>
      <c r="AH28" s="5"/>
      <c r="AI28" s="5"/>
      <c r="AJ28" s="83">
        <f t="shared" si="2"/>
        <v>0</v>
      </c>
      <c r="AK28" s="103">
        <f t="shared" si="3"/>
        <v>0</v>
      </c>
      <c r="AL28" s="85">
        <f t="shared" si="4"/>
        <v>0</v>
      </c>
      <c r="AM28" s="85">
        <f t="shared" si="5"/>
        <v>0</v>
      </c>
      <c r="AN28" s="84">
        <f t="shared" si="6"/>
        <v>0</v>
      </c>
      <c r="AO28" s="5">
        <f t="shared" si="12"/>
        <v>0</v>
      </c>
      <c r="AP28" s="84">
        <f t="shared" si="13"/>
        <v>0</v>
      </c>
      <c r="AQ28" s="84">
        <f t="shared" si="7"/>
        <v>0</v>
      </c>
      <c r="AR28" s="84">
        <f t="shared" si="8"/>
        <v>0</v>
      </c>
      <c r="AS28" s="84">
        <f t="shared" si="9"/>
        <v>0</v>
      </c>
      <c r="AT28" s="84">
        <f t="shared" si="10"/>
        <v>0</v>
      </c>
    </row>
    <row r="29" spans="1:46" ht="29.15" customHeight="1" x14ac:dyDescent="0.35">
      <c r="A29" s="111" t="s">
        <v>80</v>
      </c>
      <c r="B29" s="111" t="s">
        <v>81</v>
      </c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3">
        <f t="shared" si="0"/>
        <v>0</v>
      </c>
      <c r="AB29" s="94">
        <f t="shared" si="1"/>
        <v>0</v>
      </c>
      <c r="AC29" s="15"/>
      <c r="AD29" s="11"/>
      <c r="AE29" s="14">
        <f t="shared" si="11"/>
        <v>0</v>
      </c>
      <c r="AF29" s="18"/>
      <c r="AG29" s="5"/>
      <c r="AH29" s="5"/>
      <c r="AI29" s="5"/>
      <c r="AJ29" s="83">
        <f t="shared" si="2"/>
        <v>0</v>
      </c>
      <c r="AK29" s="103">
        <f t="shared" si="3"/>
        <v>0</v>
      </c>
      <c r="AL29" s="85">
        <f t="shared" si="4"/>
        <v>0</v>
      </c>
      <c r="AM29" s="85">
        <f t="shared" si="5"/>
        <v>0</v>
      </c>
      <c r="AN29" s="84">
        <f t="shared" si="6"/>
        <v>0</v>
      </c>
      <c r="AO29" s="5">
        <f t="shared" si="12"/>
        <v>0</v>
      </c>
      <c r="AP29" s="84">
        <f t="shared" si="13"/>
        <v>0</v>
      </c>
      <c r="AQ29" s="84">
        <f t="shared" si="7"/>
        <v>0</v>
      </c>
      <c r="AR29" s="84">
        <f t="shared" si="8"/>
        <v>0</v>
      </c>
      <c r="AS29" s="84">
        <f t="shared" si="9"/>
        <v>0</v>
      </c>
      <c r="AT29" s="84">
        <f t="shared" si="10"/>
        <v>0</v>
      </c>
    </row>
    <row r="30" spans="1:46" ht="29.15" customHeight="1" x14ac:dyDescent="0.35">
      <c r="A30" s="111" t="s">
        <v>82</v>
      </c>
      <c r="B30" s="111" t="s">
        <v>83</v>
      </c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3">
        <f t="shared" si="0"/>
        <v>0</v>
      </c>
      <c r="AB30" s="94">
        <f t="shared" si="1"/>
        <v>0</v>
      </c>
      <c r="AC30" s="15"/>
      <c r="AD30" s="11"/>
      <c r="AE30" s="14">
        <f t="shared" si="11"/>
        <v>0</v>
      </c>
      <c r="AF30" s="18"/>
      <c r="AG30" s="5"/>
      <c r="AH30" s="5"/>
      <c r="AI30" s="5"/>
      <c r="AJ30" s="83">
        <f t="shared" si="2"/>
        <v>0</v>
      </c>
      <c r="AK30" s="103">
        <f t="shared" si="3"/>
        <v>0</v>
      </c>
      <c r="AL30" s="85">
        <f t="shared" si="4"/>
        <v>0</v>
      </c>
      <c r="AM30" s="85">
        <f t="shared" si="5"/>
        <v>0</v>
      </c>
      <c r="AN30" s="84">
        <f t="shared" si="6"/>
        <v>0</v>
      </c>
      <c r="AO30" s="5">
        <f t="shared" si="12"/>
        <v>0</v>
      </c>
      <c r="AP30" s="84">
        <f t="shared" si="13"/>
        <v>0</v>
      </c>
      <c r="AQ30" s="84">
        <f t="shared" si="7"/>
        <v>0</v>
      </c>
      <c r="AR30" s="84">
        <f t="shared" si="8"/>
        <v>0</v>
      </c>
      <c r="AS30" s="84">
        <f t="shared" si="9"/>
        <v>0</v>
      </c>
      <c r="AT30" s="84">
        <f t="shared" si="10"/>
        <v>0</v>
      </c>
    </row>
    <row r="31" spans="1:46" ht="29.15" customHeight="1" x14ac:dyDescent="0.35">
      <c r="A31" s="111" t="s">
        <v>84</v>
      </c>
      <c r="B31" s="111" t="s">
        <v>85</v>
      </c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3">
        <f t="shared" si="0"/>
        <v>0</v>
      </c>
      <c r="AB31" s="94">
        <f t="shared" si="1"/>
        <v>0</v>
      </c>
      <c r="AC31" s="15"/>
      <c r="AD31" s="11"/>
      <c r="AE31" s="14">
        <f t="shared" si="11"/>
        <v>0</v>
      </c>
      <c r="AF31" s="18"/>
      <c r="AG31" s="5"/>
      <c r="AH31" s="5"/>
      <c r="AI31" s="5"/>
      <c r="AJ31" s="83">
        <f t="shared" si="2"/>
        <v>0</v>
      </c>
      <c r="AK31" s="103">
        <f t="shared" si="3"/>
        <v>0</v>
      </c>
      <c r="AL31" s="85">
        <f t="shared" si="4"/>
        <v>0</v>
      </c>
      <c r="AM31" s="85">
        <f t="shared" si="5"/>
        <v>0</v>
      </c>
      <c r="AN31" s="84">
        <f t="shared" si="6"/>
        <v>0</v>
      </c>
      <c r="AO31" s="5">
        <f t="shared" si="12"/>
        <v>0</v>
      </c>
      <c r="AP31" s="84">
        <f t="shared" si="13"/>
        <v>0</v>
      </c>
      <c r="AQ31" s="84">
        <f t="shared" si="7"/>
        <v>0</v>
      </c>
      <c r="AR31" s="84">
        <f t="shared" si="8"/>
        <v>0</v>
      </c>
      <c r="AS31" s="84">
        <f t="shared" si="9"/>
        <v>0</v>
      </c>
      <c r="AT31" s="84">
        <f t="shared" si="10"/>
        <v>0</v>
      </c>
    </row>
    <row r="32" spans="1:46" ht="29.15" customHeight="1" x14ac:dyDescent="0.35">
      <c r="A32" s="111" t="s">
        <v>86</v>
      </c>
      <c r="B32" s="111" t="s">
        <v>87</v>
      </c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3">
        <f t="shared" si="0"/>
        <v>0</v>
      </c>
      <c r="AB32" s="94">
        <f t="shared" si="1"/>
        <v>0</v>
      </c>
      <c r="AC32" s="15"/>
      <c r="AD32" s="11"/>
      <c r="AE32" s="14">
        <f t="shared" si="11"/>
        <v>0</v>
      </c>
      <c r="AF32" s="18"/>
      <c r="AG32" s="5"/>
      <c r="AH32" s="5"/>
      <c r="AI32" s="5"/>
      <c r="AJ32" s="83">
        <f t="shared" si="2"/>
        <v>0</v>
      </c>
      <c r="AK32" s="103">
        <f t="shared" si="3"/>
        <v>0</v>
      </c>
      <c r="AL32" s="85">
        <f t="shared" si="4"/>
        <v>0</v>
      </c>
      <c r="AM32" s="85">
        <f t="shared" si="5"/>
        <v>0</v>
      </c>
      <c r="AN32" s="84">
        <f t="shared" si="6"/>
        <v>0</v>
      </c>
      <c r="AO32" s="5">
        <f t="shared" si="12"/>
        <v>0</v>
      </c>
      <c r="AP32" s="84">
        <f t="shared" si="13"/>
        <v>0</v>
      </c>
      <c r="AQ32" s="84">
        <f t="shared" si="7"/>
        <v>0</v>
      </c>
      <c r="AR32" s="84">
        <f t="shared" si="8"/>
        <v>0</v>
      </c>
      <c r="AS32" s="84">
        <f t="shared" si="9"/>
        <v>0</v>
      </c>
      <c r="AT32" s="84">
        <f t="shared" si="10"/>
        <v>0</v>
      </c>
    </row>
    <row r="33" spans="1:46" ht="29.15" customHeight="1" x14ac:dyDescent="0.35">
      <c r="A33" s="111" t="s">
        <v>88</v>
      </c>
      <c r="B33" s="111" t="s">
        <v>89</v>
      </c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3">
        <f t="shared" si="0"/>
        <v>0</v>
      </c>
      <c r="AB33" s="94">
        <f t="shared" si="1"/>
        <v>0</v>
      </c>
      <c r="AC33" s="15"/>
      <c r="AD33" s="11"/>
      <c r="AE33" s="14">
        <f t="shared" si="11"/>
        <v>0</v>
      </c>
      <c r="AF33" s="18"/>
      <c r="AG33" s="5"/>
      <c r="AH33" s="5"/>
      <c r="AI33" s="5"/>
      <c r="AJ33" s="83">
        <f t="shared" si="2"/>
        <v>0</v>
      </c>
      <c r="AK33" s="103">
        <f t="shared" si="3"/>
        <v>0</v>
      </c>
      <c r="AL33" s="85">
        <f t="shared" si="4"/>
        <v>0</v>
      </c>
      <c r="AM33" s="85">
        <f t="shared" si="5"/>
        <v>0</v>
      </c>
      <c r="AN33" s="84">
        <f t="shared" si="6"/>
        <v>0</v>
      </c>
      <c r="AO33" s="5">
        <f t="shared" si="12"/>
        <v>0</v>
      </c>
      <c r="AP33" s="84">
        <f t="shared" si="13"/>
        <v>0</v>
      </c>
      <c r="AQ33" s="84">
        <f t="shared" si="7"/>
        <v>0</v>
      </c>
      <c r="AR33" s="84">
        <f t="shared" si="8"/>
        <v>0</v>
      </c>
      <c r="AS33" s="84">
        <f t="shared" si="9"/>
        <v>0</v>
      </c>
      <c r="AT33" s="84">
        <f t="shared" si="10"/>
        <v>0</v>
      </c>
    </row>
    <row r="34" spans="1:46" ht="29.15" customHeight="1" x14ac:dyDescent="0.35">
      <c r="A34" s="111" t="s">
        <v>90</v>
      </c>
      <c r="B34" s="111" t="s">
        <v>91</v>
      </c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3">
        <f t="shared" si="0"/>
        <v>0</v>
      </c>
      <c r="AB34" s="94">
        <f t="shared" si="1"/>
        <v>0</v>
      </c>
      <c r="AC34" s="15"/>
      <c r="AD34" s="11"/>
      <c r="AE34" s="14">
        <f t="shared" si="11"/>
        <v>0</v>
      </c>
      <c r="AF34" s="18"/>
      <c r="AG34" s="5"/>
      <c r="AH34" s="5"/>
      <c r="AI34" s="5"/>
      <c r="AJ34" s="83">
        <f t="shared" si="2"/>
        <v>0</v>
      </c>
      <c r="AK34" s="103">
        <f t="shared" si="3"/>
        <v>0</v>
      </c>
      <c r="AL34" s="85">
        <f t="shared" si="4"/>
        <v>0</v>
      </c>
      <c r="AM34" s="85">
        <f t="shared" si="5"/>
        <v>0</v>
      </c>
      <c r="AN34" s="84">
        <f t="shared" si="6"/>
        <v>0</v>
      </c>
      <c r="AO34" s="5">
        <f t="shared" si="12"/>
        <v>0</v>
      </c>
      <c r="AP34" s="84">
        <f t="shared" si="13"/>
        <v>0</v>
      </c>
      <c r="AQ34" s="84">
        <f t="shared" si="7"/>
        <v>0</v>
      </c>
      <c r="AR34" s="84">
        <f t="shared" si="8"/>
        <v>0</v>
      </c>
      <c r="AS34" s="84">
        <f t="shared" si="9"/>
        <v>0</v>
      </c>
      <c r="AT34" s="84">
        <f t="shared" si="10"/>
        <v>0</v>
      </c>
    </row>
    <row r="35" spans="1:46" ht="29.15" customHeight="1" x14ac:dyDescent="0.35">
      <c r="A35" s="111" t="s">
        <v>92</v>
      </c>
      <c r="B35" s="111" t="s">
        <v>93</v>
      </c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3">
        <f t="shared" si="0"/>
        <v>0</v>
      </c>
      <c r="AB35" s="94">
        <f t="shared" si="1"/>
        <v>0</v>
      </c>
      <c r="AC35" s="15"/>
      <c r="AD35" s="11"/>
      <c r="AE35" s="14">
        <f t="shared" si="11"/>
        <v>0</v>
      </c>
      <c r="AF35" s="18"/>
      <c r="AG35" s="5"/>
      <c r="AH35" s="5"/>
      <c r="AI35" s="5"/>
      <c r="AJ35" s="83">
        <f t="shared" si="2"/>
        <v>0</v>
      </c>
      <c r="AK35" s="103">
        <f t="shared" si="3"/>
        <v>0</v>
      </c>
      <c r="AL35" s="85">
        <f t="shared" si="4"/>
        <v>0</v>
      </c>
      <c r="AM35" s="85">
        <f t="shared" si="5"/>
        <v>0</v>
      </c>
      <c r="AN35" s="84">
        <f t="shared" si="6"/>
        <v>0</v>
      </c>
      <c r="AO35" s="5">
        <f t="shared" si="12"/>
        <v>0</v>
      </c>
      <c r="AP35" s="84">
        <f t="shared" si="13"/>
        <v>0</v>
      </c>
      <c r="AQ35" s="84">
        <f t="shared" si="7"/>
        <v>0</v>
      </c>
      <c r="AR35" s="84">
        <f t="shared" si="8"/>
        <v>0</v>
      </c>
      <c r="AS35" s="84">
        <f t="shared" si="9"/>
        <v>0</v>
      </c>
      <c r="AT35" s="84">
        <f t="shared" si="10"/>
        <v>0</v>
      </c>
    </row>
    <row r="36" spans="1:46" ht="29.15" customHeight="1" x14ac:dyDescent="0.35">
      <c r="A36" s="111" t="s">
        <v>94</v>
      </c>
      <c r="B36" s="111" t="s">
        <v>95</v>
      </c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3">
        <f t="shared" si="0"/>
        <v>0</v>
      </c>
      <c r="AB36" s="94">
        <f t="shared" si="1"/>
        <v>0</v>
      </c>
      <c r="AC36" s="15"/>
      <c r="AD36" s="11"/>
      <c r="AE36" s="14">
        <f t="shared" si="11"/>
        <v>0</v>
      </c>
      <c r="AF36" s="18"/>
      <c r="AG36" s="5"/>
      <c r="AH36" s="5"/>
      <c r="AI36" s="5"/>
      <c r="AJ36" s="83">
        <f t="shared" si="2"/>
        <v>0</v>
      </c>
      <c r="AK36" s="103">
        <f t="shared" si="3"/>
        <v>0</v>
      </c>
      <c r="AL36" s="85">
        <f t="shared" si="4"/>
        <v>0</v>
      </c>
      <c r="AM36" s="85">
        <f t="shared" si="5"/>
        <v>0</v>
      </c>
      <c r="AN36" s="84">
        <f t="shared" si="6"/>
        <v>0</v>
      </c>
      <c r="AO36" s="5">
        <f t="shared" si="12"/>
        <v>0</v>
      </c>
      <c r="AP36" s="84">
        <f t="shared" si="13"/>
        <v>0</v>
      </c>
      <c r="AQ36" s="84">
        <f t="shared" si="7"/>
        <v>0</v>
      </c>
      <c r="AR36" s="84">
        <f t="shared" si="8"/>
        <v>0</v>
      </c>
      <c r="AS36" s="84">
        <f t="shared" si="9"/>
        <v>0</v>
      </c>
      <c r="AT36" s="84">
        <f t="shared" si="10"/>
        <v>0</v>
      </c>
    </row>
    <row r="37" spans="1:46" ht="29.15" customHeight="1" x14ac:dyDescent="0.35">
      <c r="A37" s="111" t="s">
        <v>96</v>
      </c>
      <c r="B37" s="111" t="s">
        <v>97</v>
      </c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3">
        <f t="shared" si="0"/>
        <v>0</v>
      </c>
      <c r="AB37" s="94">
        <f t="shared" si="1"/>
        <v>0</v>
      </c>
      <c r="AC37" s="15"/>
      <c r="AD37" s="11"/>
      <c r="AE37" s="14">
        <f t="shared" si="11"/>
        <v>0</v>
      </c>
      <c r="AF37" s="18"/>
      <c r="AG37" s="5"/>
      <c r="AH37" s="5"/>
      <c r="AI37" s="5"/>
      <c r="AJ37" s="83">
        <f t="shared" si="2"/>
        <v>0</v>
      </c>
      <c r="AK37" s="103">
        <f t="shared" si="3"/>
        <v>0</v>
      </c>
      <c r="AL37" s="85">
        <f t="shared" si="4"/>
        <v>0</v>
      </c>
      <c r="AM37" s="85">
        <f t="shared" si="5"/>
        <v>0</v>
      </c>
      <c r="AN37" s="84">
        <f t="shared" si="6"/>
        <v>0</v>
      </c>
      <c r="AO37" s="5">
        <f t="shared" si="12"/>
        <v>0</v>
      </c>
      <c r="AP37" s="84">
        <f t="shared" si="13"/>
        <v>0</v>
      </c>
      <c r="AQ37" s="84">
        <f t="shared" si="7"/>
        <v>0</v>
      </c>
      <c r="AR37" s="84">
        <f t="shared" si="8"/>
        <v>0</v>
      </c>
      <c r="AS37" s="84">
        <f t="shared" si="9"/>
        <v>0</v>
      </c>
      <c r="AT37" s="84">
        <f t="shared" si="10"/>
        <v>0</v>
      </c>
    </row>
    <row r="38" spans="1:46" ht="29.15" customHeight="1" x14ac:dyDescent="0.35">
      <c r="A38" s="111"/>
      <c r="B38" s="111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3">
        <f t="shared" si="0"/>
        <v>0</v>
      </c>
      <c r="AB38" s="94">
        <f t="shared" si="1"/>
        <v>0</v>
      </c>
      <c r="AC38" s="15"/>
      <c r="AD38" s="11"/>
      <c r="AE38" s="14">
        <f t="shared" si="11"/>
        <v>0</v>
      </c>
      <c r="AF38" s="18"/>
      <c r="AG38" s="5"/>
      <c r="AH38" s="5"/>
      <c r="AI38" s="5"/>
      <c r="AJ38" s="83">
        <f t="shared" si="2"/>
        <v>0</v>
      </c>
      <c r="AK38" s="103">
        <f t="shared" si="3"/>
        <v>0</v>
      </c>
      <c r="AL38" s="85">
        <f t="shared" si="4"/>
        <v>0</v>
      </c>
      <c r="AM38" s="85">
        <f t="shared" si="5"/>
        <v>0</v>
      </c>
      <c r="AN38" s="84">
        <f t="shared" si="6"/>
        <v>0</v>
      </c>
      <c r="AO38" s="5">
        <f t="shared" si="12"/>
        <v>0</v>
      </c>
      <c r="AP38" s="84">
        <f t="shared" si="13"/>
        <v>0</v>
      </c>
      <c r="AQ38" s="84">
        <f t="shared" si="7"/>
        <v>0</v>
      </c>
      <c r="AR38" s="84">
        <f t="shared" si="8"/>
        <v>0</v>
      </c>
      <c r="AS38" s="84">
        <f t="shared" si="9"/>
        <v>0</v>
      </c>
      <c r="AT38" s="84">
        <f t="shared" si="10"/>
        <v>0</v>
      </c>
    </row>
    <row r="39" spans="1:46" ht="29.15" customHeight="1" x14ac:dyDescent="0.35">
      <c r="A39" s="111"/>
      <c r="B39" s="111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3">
        <f t="shared" si="0"/>
        <v>0</v>
      </c>
      <c r="AB39" s="94">
        <f t="shared" si="1"/>
        <v>0</v>
      </c>
      <c r="AC39" s="15"/>
      <c r="AD39" s="11"/>
      <c r="AE39" s="14">
        <f t="shared" si="11"/>
        <v>0</v>
      </c>
      <c r="AF39" s="18"/>
      <c r="AG39" s="5"/>
      <c r="AH39" s="5"/>
      <c r="AI39" s="5"/>
      <c r="AJ39" s="83">
        <f t="shared" si="2"/>
        <v>0</v>
      </c>
      <c r="AK39" s="103">
        <f t="shared" si="3"/>
        <v>0</v>
      </c>
      <c r="AL39" s="85">
        <f t="shared" si="4"/>
        <v>0</v>
      </c>
      <c r="AM39" s="85">
        <f t="shared" si="5"/>
        <v>0</v>
      </c>
      <c r="AN39" s="84">
        <f t="shared" si="6"/>
        <v>0</v>
      </c>
      <c r="AO39" s="5">
        <f t="shared" si="12"/>
        <v>0</v>
      </c>
      <c r="AP39" s="84">
        <f t="shared" si="13"/>
        <v>0</v>
      </c>
      <c r="AQ39" s="84">
        <f t="shared" si="7"/>
        <v>0</v>
      </c>
      <c r="AR39" s="84">
        <f t="shared" si="8"/>
        <v>0</v>
      </c>
      <c r="AS39" s="84">
        <f t="shared" si="9"/>
        <v>0</v>
      </c>
      <c r="AT39" s="84">
        <f t="shared" si="10"/>
        <v>0</v>
      </c>
    </row>
    <row r="40" spans="1:46" ht="29.15" customHeight="1" x14ac:dyDescent="0.35">
      <c r="A40" s="111"/>
      <c r="B40" s="111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3">
        <f t="shared" si="0"/>
        <v>0</v>
      </c>
      <c r="AB40" s="94">
        <f t="shared" si="1"/>
        <v>0</v>
      </c>
      <c r="AC40" s="15"/>
      <c r="AD40" s="11"/>
      <c r="AE40" s="14">
        <f t="shared" si="11"/>
        <v>0</v>
      </c>
      <c r="AF40" s="18"/>
      <c r="AG40" s="5"/>
      <c r="AH40" s="5"/>
      <c r="AI40" s="5"/>
      <c r="AJ40" s="83">
        <f t="shared" si="2"/>
        <v>0</v>
      </c>
      <c r="AK40" s="103">
        <f t="shared" si="3"/>
        <v>0</v>
      </c>
      <c r="AL40" s="85">
        <f t="shared" si="4"/>
        <v>0</v>
      </c>
      <c r="AM40" s="85">
        <f t="shared" si="5"/>
        <v>0</v>
      </c>
      <c r="AN40" s="84">
        <f t="shared" si="6"/>
        <v>0</v>
      </c>
      <c r="AO40" s="5">
        <f t="shared" si="12"/>
        <v>0</v>
      </c>
      <c r="AP40" s="84">
        <f t="shared" si="13"/>
        <v>0</v>
      </c>
      <c r="AQ40" s="84">
        <f t="shared" si="7"/>
        <v>0</v>
      </c>
      <c r="AR40" s="84">
        <f t="shared" si="8"/>
        <v>0</v>
      </c>
      <c r="AS40" s="84">
        <f t="shared" si="9"/>
        <v>0</v>
      </c>
      <c r="AT40" s="84">
        <f t="shared" si="10"/>
        <v>0</v>
      </c>
    </row>
    <row r="41" spans="1:46" ht="29.15" customHeight="1" x14ac:dyDescent="0.35">
      <c r="A41" s="111"/>
      <c r="B41" s="111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3">
        <f t="shared" si="0"/>
        <v>0</v>
      </c>
      <c r="AB41" s="94">
        <f t="shared" si="1"/>
        <v>0</v>
      </c>
      <c r="AC41" s="15"/>
      <c r="AD41" s="11"/>
      <c r="AE41" s="14">
        <f t="shared" si="11"/>
        <v>0</v>
      </c>
      <c r="AF41" s="18"/>
      <c r="AG41" s="5"/>
      <c r="AH41" s="5"/>
      <c r="AI41" s="5"/>
      <c r="AJ41" s="83">
        <f t="shared" si="2"/>
        <v>0</v>
      </c>
      <c r="AK41" s="103">
        <f t="shared" si="3"/>
        <v>0</v>
      </c>
      <c r="AL41" s="85">
        <f t="shared" si="4"/>
        <v>0</v>
      </c>
      <c r="AM41" s="85">
        <f t="shared" si="5"/>
        <v>0</v>
      </c>
      <c r="AN41" s="84">
        <f t="shared" si="6"/>
        <v>0</v>
      </c>
      <c r="AO41" s="5">
        <f t="shared" si="12"/>
        <v>0</v>
      </c>
      <c r="AP41" s="84">
        <f t="shared" si="13"/>
        <v>0</v>
      </c>
      <c r="AQ41" s="84">
        <f t="shared" si="7"/>
        <v>0</v>
      </c>
      <c r="AR41" s="84">
        <f t="shared" si="8"/>
        <v>0</v>
      </c>
      <c r="AS41" s="84">
        <f t="shared" si="9"/>
        <v>0</v>
      </c>
      <c r="AT41" s="84">
        <f t="shared" si="10"/>
        <v>0</v>
      </c>
    </row>
    <row r="42" spans="1:46" ht="29.15" customHeight="1" x14ac:dyDescent="0.35">
      <c r="A42" s="111"/>
      <c r="B42" s="111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3">
        <f t="shared" si="0"/>
        <v>0</v>
      </c>
      <c r="AB42" s="94">
        <f t="shared" si="1"/>
        <v>0</v>
      </c>
      <c r="AC42" s="15"/>
      <c r="AD42" s="11"/>
      <c r="AE42" s="14">
        <f t="shared" si="11"/>
        <v>0</v>
      </c>
      <c r="AF42" s="18"/>
      <c r="AG42" s="5"/>
      <c r="AH42" s="5"/>
      <c r="AI42" s="5"/>
      <c r="AJ42" s="83">
        <f t="shared" si="2"/>
        <v>0</v>
      </c>
      <c r="AK42" s="103">
        <f t="shared" si="3"/>
        <v>0</v>
      </c>
      <c r="AL42" s="85">
        <f t="shared" si="4"/>
        <v>0</v>
      </c>
      <c r="AM42" s="85">
        <f t="shared" si="5"/>
        <v>0</v>
      </c>
      <c r="AN42" s="84">
        <f t="shared" si="6"/>
        <v>0</v>
      </c>
      <c r="AO42" s="5">
        <f t="shared" si="12"/>
        <v>0</v>
      </c>
      <c r="AP42" s="84">
        <f t="shared" si="13"/>
        <v>0</v>
      </c>
      <c r="AQ42" s="84">
        <f t="shared" si="7"/>
        <v>0</v>
      </c>
      <c r="AR42" s="84">
        <f t="shared" si="8"/>
        <v>0</v>
      </c>
      <c r="AS42" s="84">
        <f t="shared" si="9"/>
        <v>0</v>
      </c>
      <c r="AT42" s="84">
        <f t="shared" si="10"/>
        <v>0</v>
      </c>
    </row>
    <row r="43" spans="1:46" ht="29.15" customHeight="1" x14ac:dyDescent="0.35">
      <c r="A43" s="111"/>
      <c r="B43" s="111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3">
        <f t="shared" si="0"/>
        <v>0</v>
      </c>
      <c r="AB43" s="94">
        <f t="shared" si="1"/>
        <v>0</v>
      </c>
      <c r="AC43" s="15"/>
      <c r="AD43" s="11"/>
      <c r="AE43" s="14">
        <f t="shared" si="11"/>
        <v>0</v>
      </c>
      <c r="AF43" s="18"/>
      <c r="AG43" s="5"/>
      <c r="AH43" s="5"/>
      <c r="AI43" s="5"/>
      <c r="AJ43" s="83">
        <f t="shared" si="2"/>
        <v>0</v>
      </c>
      <c r="AK43" s="103">
        <f t="shared" si="3"/>
        <v>0</v>
      </c>
      <c r="AL43" s="85">
        <f t="shared" si="4"/>
        <v>0</v>
      </c>
      <c r="AM43" s="85">
        <f t="shared" si="5"/>
        <v>0</v>
      </c>
      <c r="AN43" s="84">
        <f t="shared" si="6"/>
        <v>0</v>
      </c>
      <c r="AO43" s="5">
        <f t="shared" si="12"/>
        <v>0</v>
      </c>
      <c r="AP43" s="84">
        <f t="shared" si="13"/>
        <v>0</v>
      </c>
      <c r="AQ43" s="84">
        <f t="shared" si="7"/>
        <v>0</v>
      </c>
      <c r="AR43" s="84">
        <f t="shared" si="8"/>
        <v>0</v>
      </c>
      <c r="AS43" s="84">
        <f t="shared" si="9"/>
        <v>0</v>
      </c>
      <c r="AT43" s="84">
        <f t="shared" si="10"/>
        <v>0</v>
      </c>
    </row>
    <row r="44" spans="1:46" ht="29.15" customHeight="1" thickBot="1" x14ac:dyDescent="0.4">
      <c r="A44" s="97"/>
      <c r="B44" s="97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3">
        <f t="shared" si="0"/>
        <v>0</v>
      </c>
      <c r="AB44" s="94">
        <f t="shared" si="1"/>
        <v>0</v>
      </c>
      <c r="AC44" s="15"/>
      <c r="AD44" s="11"/>
      <c r="AE44" s="14">
        <f t="shared" si="11"/>
        <v>0</v>
      </c>
      <c r="AF44" s="18"/>
      <c r="AG44" s="5"/>
      <c r="AH44" s="5"/>
      <c r="AI44" s="5"/>
      <c r="AJ44" s="83">
        <f t="shared" si="2"/>
        <v>0</v>
      </c>
      <c r="AK44" s="103">
        <f t="shared" si="3"/>
        <v>0</v>
      </c>
      <c r="AL44" s="85">
        <f t="shared" si="4"/>
        <v>0</v>
      </c>
      <c r="AM44" s="85">
        <f t="shared" si="5"/>
        <v>0</v>
      </c>
      <c r="AN44" s="84">
        <f t="shared" si="6"/>
        <v>0</v>
      </c>
      <c r="AO44" s="5">
        <f t="shared" si="12"/>
        <v>0</v>
      </c>
      <c r="AP44" s="84">
        <f t="shared" si="13"/>
        <v>0</v>
      </c>
      <c r="AQ44" s="84">
        <f t="shared" si="7"/>
        <v>0</v>
      </c>
      <c r="AR44" s="84">
        <f t="shared" si="8"/>
        <v>0</v>
      </c>
      <c r="AS44" s="84">
        <f t="shared" si="9"/>
        <v>0</v>
      </c>
      <c r="AT44" s="84">
        <f t="shared" si="10"/>
        <v>0</v>
      </c>
    </row>
    <row r="45" spans="1:46" ht="29.15" customHeight="1" thickBot="1" x14ac:dyDescent="0.4">
      <c r="A45" s="97"/>
      <c r="B45" s="97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3">
        <f t="shared" si="0"/>
        <v>0</v>
      </c>
      <c r="AB45" s="94">
        <f t="shared" si="1"/>
        <v>0</v>
      </c>
      <c r="AC45" s="15"/>
      <c r="AD45" s="11"/>
      <c r="AE45" s="14">
        <f t="shared" si="11"/>
        <v>0</v>
      </c>
      <c r="AF45" s="18"/>
      <c r="AG45" s="5"/>
      <c r="AH45" s="5"/>
      <c r="AI45" s="5"/>
      <c r="AJ45" s="83">
        <f t="shared" si="2"/>
        <v>0</v>
      </c>
      <c r="AK45" s="103">
        <f t="shared" si="3"/>
        <v>0</v>
      </c>
      <c r="AL45" s="85">
        <f t="shared" si="4"/>
        <v>0</v>
      </c>
      <c r="AM45" s="85">
        <f t="shared" si="5"/>
        <v>0</v>
      </c>
      <c r="AN45" s="84">
        <f t="shared" si="6"/>
        <v>0</v>
      </c>
      <c r="AO45" s="5">
        <f t="shared" si="12"/>
        <v>0</v>
      </c>
      <c r="AP45" s="84">
        <f t="shared" si="13"/>
        <v>0</v>
      </c>
      <c r="AQ45" s="84">
        <f t="shared" si="7"/>
        <v>0</v>
      </c>
      <c r="AR45" s="84">
        <f t="shared" si="8"/>
        <v>0</v>
      </c>
      <c r="AS45" s="84">
        <f t="shared" si="9"/>
        <v>0</v>
      </c>
      <c r="AT45" s="84">
        <f t="shared" si="10"/>
        <v>0</v>
      </c>
    </row>
    <row r="46" spans="1:46" ht="29.15" customHeight="1" thickBot="1" x14ac:dyDescent="0.4">
      <c r="A46" s="97"/>
      <c r="B46" s="97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3">
        <f t="shared" si="0"/>
        <v>0</v>
      </c>
      <c r="AB46" s="94">
        <f t="shared" si="1"/>
        <v>0</v>
      </c>
      <c r="AC46" s="15"/>
      <c r="AD46" s="11"/>
      <c r="AE46" s="14">
        <f t="shared" si="11"/>
        <v>0</v>
      </c>
      <c r="AF46" s="18"/>
      <c r="AG46" s="5"/>
      <c r="AH46" s="5"/>
      <c r="AI46" s="5"/>
      <c r="AJ46" s="83">
        <f t="shared" si="2"/>
        <v>0</v>
      </c>
      <c r="AK46" s="103">
        <f t="shared" si="3"/>
        <v>0</v>
      </c>
      <c r="AL46" s="85">
        <f t="shared" si="4"/>
        <v>0</v>
      </c>
      <c r="AM46" s="85">
        <f t="shared" si="5"/>
        <v>0</v>
      </c>
      <c r="AN46" s="84">
        <f t="shared" si="6"/>
        <v>0</v>
      </c>
      <c r="AO46" s="5">
        <f t="shared" si="12"/>
        <v>0</v>
      </c>
      <c r="AP46" s="84">
        <f t="shared" si="13"/>
        <v>0</v>
      </c>
      <c r="AQ46" s="84">
        <f t="shared" si="7"/>
        <v>0</v>
      </c>
      <c r="AR46" s="84">
        <f t="shared" si="8"/>
        <v>0</v>
      </c>
      <c r="AS46" s="84">
        <f t="shared" si="9"/>
        <v>0</v>
      </c>
      <c r="AT46" s="84">
        <f t="shared" si="10"/>
        <v>0</v>
      </c>
    </row>
    <row r="47" spans="1:46" ht="29.15" customHeight="1" thickBot="1" x14ac:dyDescent="0.4">
      <c r="A47" s="97"/>
      <c r="B47" s="97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3">
        <f t="shared" si="0"/>
        <v>0</v>
      </c>
      <c r="AB47" s="94">
        <f t="shared" si="1"/>
        <v>0</v>
      </c>
      <c r="AC47" s="15"/>
      <c r="AD47" s="11"/>
      <c r="AE47" s="14">
        <f t="shared" si="11"/>
        <v>0</v>
      </c>
      <c r="AF47" s="18"/>
      <c r="AG47" s="5"/>
      <c r="AH47" s="5"/>
      <c r="AI47" s="5"/>
      <c r="AJ47" s="83">
        <f t="shared" si="2"/>
        <v>0</v>
      </c>
      <c r="AK47" s="103">
        <f t="shared" si="3"/>
        <v>0</v>
      </c>
      <c r="AL47" s="85">
        <f t="shared" si="4"/>
        <v>0</v>
      </c>
      <c r="AM47" s="85">
        <f t="shared" si="5"/>
        <v>0</v>
      </c>
      <c r="AN47" s="84">
        <f t="shared" si="6"/>
        <v>0</v>
      </c>
      <c r="AO47" s="5">
        <f t="shared" si="12"/>
        <v>0</v>
      </c>
      <c r="AP47" s="84">
        <f t="shared" si="13"/>
        <v>0</v>
      </c>
      <c r="AQ47" s="84">
        <f t="shared" si="7"/>
        <v>0</v>
      </c>
      <c r="AR47" s="84">
        <f t="shared" si="8"/>
        <v>0</v>
      </c>
      <c r="AS47" s="84">
        <f t="shared" si="9"/>
        <v>0</v>
      </c>
      <c r="AT47" s="84">
        <f t="shared" si="10"/>
        <v>0</v>
      </c>
    </row>
    <row r="48" spans="1:46" ht="29.15" customHeight="1" thickBot="1" x14ac:dyDescent="0.4">
      <c r="A48" s="97"/>
      <c r="B48" s="97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3">
        <f t="shared" si="0"/>
        <v>0</v>
      </c>
      <c r="AB48" s="94">
        <f t="shared" si="1"/>
        <v>0</v>
      </c>
      <c r="AC48" s="15"/>
      <c r="AD48" s="11"/>
      <c r="AE48" s="14">
        <f t="shared" si="11"/>
        <v>0</v>
      </c>
      <c r="AF48" s="18"/>
      <c r="AG48" s="5"/>
      <c r="AH48" s="5"/>
      <c r="AI48" s="5"/>
      <c r="AJ48" s="83">
        <f t="shared" si="2"/>
        <v>0</v>
      </c>
      <c r="AK48" s="103">
        <f t="shared" si="3"/>
        <v>0</v>
      </c>
      <c r="AL48" s="85">
        <f t="shared" si="4"/>
        <v>0</v>
      </c>
      <c r="AM48" s="85">
        <f t="shared" si="5"/>
        <v>0</v>
      </c>
      <c r="AN48" s="84">
        <f t="shared" si="6"/>
        <v>0</v>
      </c>
      <c r="AO48" s="5">
        <f t="shared" si="12"/>
        <v>0</v>
      </c>
      <c r="AP48" s="84">
        <f t="shared" si="13"/>
        <v>0</v>
      </c>
      <c r="AQ48" s="84">
        <f t="shared" si="7"/>
        <v>0</v>
      </c>
      <c r="AR48" s="84">
        <f t="shared" si="8"/>
        <v>0</v>
      </c>
      <c r="AS48" s="84">
        <f t="shared" si="9"/>
        <v>0</v>
      </c>
      <c r="AT48" s="84">
        <f t="shared" si="10"/>
        <v>0</v>
      </c>
    </row>
    <row r="49" spans="1:46" ht="29.15" customHeight="1" thickBot="1" x14ac:dyDescent="0.4">
      <c r="A49" s="97"/>
      <c r="B49" s="97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3">
        <f t="shared" si="0"/>
        <v>0</v>
      </c>
      <c r="AB49" s="94">
        <f t="shared" si="1"/>
        <v>0</v>
      </c>
      <c r="AC49" s="15"/>
      <c r="AD49" s="11"/>
      <c r="AE49" s="14">
        <f t="shared" si="11"/>
        <v>0</v>
      </c>
      <c r="AF49" s="18"/>
      <c r="AG49" s="5"/>
      <c r="AH49" s="5"/>
      <c r="AI49" s="5"/>
      <c r="AJ49" s="83">
        <f t="shared" si="2"/>
        <v>0</v>
      </c>
      <c r="AK49" s="103">
        <f t="shared" si="3"/>
        <v>0</v>
      </c>
      <c r="AL49" s="85">
        <f t="shared" si="4"/>
        <v>0</v>
      </c>
      <c r="AM49" s="85">
        <f t="shared" si="5"/>
        <v>0</v>
      </c>
      <c r="AN49" s="84">
        <f t="shared" si="6"/>
        <v>0</v>
      </c>
      <c r="AO49" s="5">
        <f t="shared" si="12"/>
        <v>0</v>
      </c>
      <c r="AP49" s="84">
        <f t="shared" si="13"/>
        <v>0</v>
      </c>
      <c r="AQ49" s="84">
        <f t="shared" si="7"/>
        <v>0</v>
      </c>
      <c r="AR49" s="84">
        <f t="shared" si="8"/>
        <v>0</v>
      </c>
      <c r="AS49" s="84">
        <f t="shared" si="9"/>
        <v>0</v>
      </c>
      <c r="AT49" s="84">
        <f t="shared" si="10"/>
        <v>0</v>
      </c>
    </row>
    <row r="50" spans="1:46" ht="29.15" customHeight="1" thickBot="1" x14ac:dyDescent="0.4">
      <c r="A50" s="97"/>
      <c r="B50" s="97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3">
        <f t="shared" si="0"/>
        <v>0</v>
      </c>
      <c r="AB50" s="94">
        <f t="shared" si="1"/>
        <v>0</v>
      </c>
      <c r="AC50" s="15"/>
      <c r="AD50" s="11"/>
      <c r="AE50" s="14">
        <f t="shared" si="11"/>
        <v>0</v>
      </c>
      <c r="AF50" s="18"/>
      <c r="AG50" s="5"/>
      <c r="AH50" s="5"/>
      <c r="AI50" s="5"/>
      <c r="AJ50" s="83">
        <f t="shared" si="2"/>
        <v>0</v>
      </c>
      <c r="AK50" s="103">
        <f t="shared" si="3"/>
        <v>0</v>
      </c>
      <c r="AL50" s="85">
        <f t="shared" si="4"/>
        <v>0</v>
      </c>
      <c r="AM50" s="85">
        <f t="shared" si="5"/>
        <v>0</v>
      </c>
      <c r="AN50" s="84">
        <f t="shared" si="6"/>
        <v>0</v>
      </c>
      <c r="AO50" s="5">
        <f t="shared" si="12"/>
        <v>0</v>
      </c>
      <c r="AP50" s="84">
        <f t="shared" si="13"/>
        <v>0</v>
      </c>
      <c r="AQ50" s="84">
        <f t="shared" si="7"/>
        <v>0</v>
      </c>
      <c r="AR50" s="84">
        <f t="shared" si="8"/>
        <v>0</v>
      </c>
      <c r="AS50" s="84">
        <f t="shared" si="9"/>
        <v>0</v>
      </c>
      <c r="AT50" s="84">
        <f t="shared" si="10"/>
        <v>0</v>
      </c>
    </row>
    <row r="51" spans="1:46" ht="29.15" customHeight="1" thickBot="1" x14ac:dyDescent="0.4">
      <c r="A51" s="97"/>
      <c r="B51" s="97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3">
        <f t="shared" si="0"/>
        <v>0</v>
      </c>
      <c r="AB51" s="94">
        <f t="shared" si="1"/>
        <v>0</v>
      </c>
      <c r="AC51" s="15"/>
      <c r="AD51" s="11"/>
      <c r="AE51" s="14">
        <f t="shared" si="11"/>
        <v>0</v>
      </c>
      <c r="AF51" s="18"/>
      <c r="AG51" s="5"/>
      <c r="AH51" s="5"/>
      <c r="AI51" s="5"/>
      <c r="AJ51" s="83">
        <f t="shared" si="2"/>
        <v>0</v>
      </c>
      <c r="AK51" s="103">
        <f t="shared" si="3"/>
        <v>0</v>
      </c>
      <c r="AL51" s="85">
        <f t="shared" si="4"/>
        <v>0</v>
      </c>
      <c r="AM51" s="85">
        <f t="shared" si="5"/>
        <v>0</v>
      </c>
      <c r="AN51" s="84">
        <f t="shared" si="6"/>
        <v>0</v>
      </c>
      <c r="AO51" s="5">
        <f t="shared" si="12"/>
        <v>0</v>
      </c>
      <c r="AP51" s="84">
        <f t="shared" si="13"/>
        <v>0</v>
      </c>
      <c r="AQ51" s="84">
        <f t="shared" si="7"/>
        <v>0</v>
      </c>
      <c r="AR51" s="84">
        <f t="shared" si="8"/>
        <v>0</v>
      </c>
      <c r="AS51" s="84">
        <f t="shared" si="9"/>
        <v>0</v>
      </c>
      <c r="AT51" s="84">
        <f t="shared" si="10"/>
        <v>0</v>
      </c>
    </row>
    <row r="52" spans="1:46" ht="29.15" customHeight="1" x14ac:dyDescent="0.35">
      <c r="A52" s="97"/>
      <c r="B52" s="97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3">
        <f t="shared" si="0"/>
        <v>0</v>
      </c>
      <c r="AB52" s="94">
        <f t="shared" si="1"/>
        <v>0</v>
      </c>
      <c r="AC52" s="15"/>
      <c r="AD52" s="11"/>
      <c r="AE52" s="14">
        <f t="shared" si="11"/>
        <v>0</v>
      </c>
      <c r="AF52" s="18"/>
      <c r="AG52" s="5"/>
      <c r="AH52" s="5"/>
      <c r="AI52" s="5"/>
      <c r="AJ52" s="83">
        <f t="shared" si="2"/>
        <v>0</v>
      </c>
      <c r="AK52" s="103">
        <f t="shared" si="3"/>
        <v>0</v>
      </c>
      <c r="AL52" s="85">
        <f t="shared" si="4"/>
        <v>0</v>
      </c>
      <c r="AM52" s="85">
        <f t="shared" si="5"/>
        <v>0</v>
      </c>
      <c r="AN52" s="84">
        <f t="shared" si="6"/>
        <v>0</v>
      </c>
      <c r="AO52" s="5">
        <f t="shared" si="12"/>
        <v>0</v>
      </c>
      <c r="AP52" s="84">
        <f t="shared" si="13"/>
        <v>0</v>
      </c>
      <c r="AQ52" s="84">
        <f t="shared" si="7"/>
        <v>0</v>
      </c>
      <c r="AR52" s="84">
        <f t="shared" si="8"/>
        <v>0</v>
      </c>
      <c r="AS52" s="84">
        <f t="shared" si="9"/>
        <v>0</v>
      </c>
      <c r="AT52" s="84">
        <f t="shared" si="10"/>
        <v>0</v>
      </c>
    </row>
    <row r="53" spans="1:46" x14ac:dyDescent="0.35">
      <c r="AJ53" s="1"/>
      <c r="AL53" s="104">
        <f>COUNTIF(AL12:AL52,"&gt;=50")/40*100</f>
        <v>0</v>
      </c>
      <c r="AM53" s="104">
        <f>COUNTIF(AM12:AM52,"&gt;=50")/40*100</f>
        <v>0</v>
      </c>
      <c r="AN53" s="104">
        <f>COUNTIF(AN12:AN52,"&gt;=50")/40*100</f>
        <v>0</v>
      </c>
    </row>
    <row r="54" spans="1:46" x14ac:dyDescent="0.35">
      <c r="AJ54" s="1"/>
    </row>
    <row r="55" spans="1:46" x14ac:dyDescent="0.35">
      <c r="AJ55" s="1"/>
    </row>
  </sheetData>
  <mergeCells count="36">
    <mergeCell ref="AT6:AT11"/>
    <mergeCell ref="AR6:AR11"/>
    <mergeCell ref="A9:B9"/>
    <mergeCell ref="O6:P6"/>
    <mergeCell ref="Q6:R6"/>
    <mergeCell ref="C6:D6"/>
    <mergeCell ref="E6:F6"/>
    <mergeCell ref="A7:B7"/>
    <mergeCell ref="A6:B6"/>
    <mergeCell ref="M6:N6"/>
    <mergeCell ref="A8:B8"/>
    <mergeCell ref="G6:H6"/>
    <mergeCell ref="I6:J6"/>
    <mergeCell ref="AN6:AN11"/>
    <mergeCell ref="AQ6:AQ11"/>
    <mergeCell ref="AP6:AP11"/>
    <mergeCell ref="A1:AT1"/>
    <mergeCell ref="A2:AT2"/>
    <mergeCell ref="A3:AT3"/>
    <mergeCell ref="A4:AT4"/>
    <mergeCell ref="AL5:AN5"/>
    <mergeCell ref="A5:AK5"/>
    <mergeCell ref="Y6:Z6"/>
    <mergeCell ref="AB6:AB8"/>
    <mergeCell ref="K6:L6"/>
    <mergeCell ref="AO6:AO11"/>
    <mergeCell ref="AS6:AS11"/>
    <mergeCell ref="AL6:AL11"/>
    <mergeCell ref="AM6:AM11"/>
    <mergeCell ref="AF6:AJ6"/>
    <mergeCell ref="AK6:AK7"/>
    <mergeCell ref="S6:T6"/>
    <mergeCell ref="U6:V6"/>
    <mergeCell ref="W6:X6"/>
    <mergeCell ref="C11:AJ11"/>
    <mergeCell ref="AC6:AE6"/>
  </mergeCells>
  <phoneticPr fontId="7" type="noConversion"/>
  <printOptions horizontalCentered="1" verticalCentered="1"/>
  <pageMargins left="0.2" right="0.2" top="0.75" bottom="0.75" header="0" footer="0"/>
  <pageSetup paperSize="9" scale="2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opLeftCell="A19" workbookViewId="0">
      <selection activeCell="E13" sqref="E13"/>
    </sheetView>
  </sheetViews>
  <sheetFormatPr defaultRowHeight="14.5" x14ac:dyDescent="0.35"/>
  <cols>
    <col min="2" max="2" width="5.1796875" customWidth="1"/>
    <col min="3" max="6" width="22.453125" customWidth="1"/>
    <col min="8" max="8" width="12.26953125" customWidth="1"/>
  </cols>
  <sheetData>
    <row r="1" spans="1:9" ht="20.5" thickBot="1" x14ac:dyDescent="0.4">
      <c r="A1" s="22"/>
      <c r="B1" s="23"/>
      <c r="C1" s="146" t="s">
        <v>98</v>
      </c>
      <c r="D1" s="146"/>
      <c r="E1" s="146"/>
      <c r="F1" s="146"/>
      <c r="G1" s="22"/>
      <c r="H1" s="22"/>
    </row>
    <row r="2" spans="1:9" x14ac:dyDescent="0.35">
      <c r="A2" s="22"/>
      <c r="B2" s="142" t="s">
        <v>99</v>
      </c>
      <c r="C2" s="142" t="s">
        <v>100</v>
      </c>
      <c r="D2" s="142" t="s">
        <v>101</v>
      </c>
      <c r="E2" s="142" t="s">
        <v>102</v>
      </c>
      <c r="F2" s="142" t="s">
        <v>103</v>
      </c>
      <c r="G2" s="142" t="s">
        <v>104</v>
      </c>
      <c r="H2" s="144" t="s">
        <v>105</v>
      </c>
    </row>
    <row r="3" spans="1:9" ht="15" thickBot="1" x14ac:dyDescent="0.4">
      <c r="A3" s="22"/>
      <c r="B3" s="143"/>
      <c r="C3" s="143" t="s">
        <v>106</v>
      </c>
      <c r="D3" s="143" t="s">
        <v>107</v>
      </c>
      <c r="E3" s="143"/>
      <c r="F3" s="143" t="s">
        <v>108</v>
      </c>
      <c r="G3" s="143"/>
      <c r="H3" s="145"/>
    </row>
    <row r="4" spans="1:9" ht="63.75" customHeight="1" x14ac:dyDescent="0.35">
      <c r="A4" s="22"/>
      <c r="B4" s="29">
        <v>1</v>
      </c>
      <c r="C4" s="30" t="s">
        <v>109</v>
      </c>
      <c r="D4" s="30" t="s">
        <v>110</v>
      </c>
      <c r="E4" s="30" t="s">
        <v>111</v>
      </c>
      <c r="F4" s="31" t="s">
        <v>112</v>
      </c>
      <c r="G4" s="32">
        <v>5</v>
      </c>
      <c r="H4" s="33" t="s">
        <v>113</v>
      </c>
    </row>
    <row r="5" spans="1:9" ht="63.75" customHeight="1" x14ac:dyDescent="0.35">
      <c r="A5" s="22"/>
      <c r="B5" s="24">
        <v>2</v>
      </c>
      <c r="C5" s="25" t="s">
        <v>114</v>
      </c>
      <c r="D5" s="25" t="s">
        <v>115</v>
      </c>
      <c r="E5" s="25" t="s">
        <v>116</v>
      </c>
      <c r="F5" s="26" t="s">
        <v>117</v>
      </c>
      <c r="G5" s="27">
        <v>5</v>
      </c>
      <c r="H5" s="28" t="s">
        <v>113</v>
      </c>
    </row>
    <row r="6" spans="1:9" ht="63.75" customHeight="1" x14ac:dyDescent="0.35">
      <c r="A6" s="22"/>
      <c r="B6" s="29">
        <v>3</v>
      </c>
      <c r="C6" s="30" t="s">
        <v>118</v>
      </c>
      <c r="D6" s="30" t="s">
        <v>119</v>
      </c>
      <c r="E6" s="30" t="s">
        <v>120</v>
      </c>
      <c r="F6" s="31" t="s">
        <v>121</v>
      </c>
      <c r="G6" s="32">
        <v>10</v>
      </c>
      <c r="H6" s="29" t="s">
        <v>122</v>
      </c>
    </row>
    <row r="9" spans="1:9" x14ac:dyDescent="0.35">
      <c r="A9" s="22"/>
      <c r="B9" s="146" t="s">
        <v>123</v>
      </c>
      <c r="C9" s="147"/>
      <c r="D9" s="147"/>
      <c r="E9" s="147"/>
      <c r="F9" s="147"/>
      <c r="G9" s="22"/>
      <c r="H9" s="22"/>
    </row>
    <row r="10" spans="1:9" ht="15" thickBot="1" x14ac:dyDescent="0.4">
      <c r="A10" s="22"/>
      <c r="B10" s="147"/>
      <c r="C10" s="147"/>
      <c r="D10" s="147"/>
      <c r="E10" s="147"/>
      <c r="F10" s="147"/>
      <c r="G10" s="22"/>
      <c r="H10" s="22"/>
    </row>
    <row r="11" spans="1:9" x14ac:dyDescent="0.35">
      <c r="A11" s="22"/>
      <c r="B11" s="148" t="s">
        <v>124</v>
      </c>
      <c r="C11" s="34" t="s">
        <v>100</v>
      </c>
      <c r="D11" s="150" t="s">
        <v>125</v>
      </c>
      <c r="E11" s="150" t="s">
        <v>126</v>
      </c>
      <c r="F11" s="142" t="s">
        <v>127</v>
      </c>
      <c r="G11" s="152" t="s">
        <v>104</v>
      </c>
      <c r="H11" s="154" t="s">
        <v>105</v>
      </c>
    </row>
    <row r="12" spans="1:9" ht="15" thickBot="1" x14ac:dyDescent="0.4">
      <c r="A12" s="22"/>
      <c r="B12" s="149"/>
      <c r="C12" s="35" t="s">
        <v>106</v>
      </c>
      <c r="D12" s="151"/>
      <c r="E12" s="151"/>
      <c r="F12" s="143"/>
      <c r="G12" s="153"/>
      <c r="H12" s="155"/>
    </row>
    <row r="13" spans="1:9" ht="58" x14ac:dyDescent="0.35">
      <c r="B13" s="29">
        <v>1</v>
      </c>
      <c r="C13" s="30" t="s">
        <v>109</v>
      </c>
      <c r="D13" s="30" t="s">
        <v>110</v>
      </c>
      <c r="E13" s="30" t="s">
        <v>111</v>
      </c>
      <c r="F13" s="31" t="s">
        <v>112</v>
      </c>
      <c r="G13" s="32">
        <v>5</v>
      </c>
      <c r="H13" s="33" t="s">
        <v>113</v>
      </c>
      <c r="I13" s="22"/>
    </row>
    <row r="14" spans="1:9" ht="58" x14ac:dyDescent="0.35">
      <c r="B14" s="24">
        <v>2</v>
      </c>
      <c r="C14" s="25" t="s">
        <v>114</v>
      </c>
      <c r="D14" s="25" t="s">
        <v>115</v>
      </c>
      <c r="E14" s="25" t="s">
        <v>116</v>
      </c>
      <c r="F14" s="26" t="s">
        <v>117</v>
      </c>
      <c r="G14" s="27">
        <v>5</v>
      </c>
      <c r="H14" s="28" t="s">
        <v>113</v>
      </c>
    </row>
    <row r="15" spans="1:9" ht="43.5" x14ac:dyDescent="0.35">
      <c r="B15" s="29">
        <v>3</v>
      </c>
      <c r="C15" s="30" t="s">
        <v>118</v>
      </c>
      <c r="D15" s="30" t="s">
        <v>119</v>
      </c>
      <c r="E15" s="30" t="s">
        <v>120</v>
      </c>
      <c r="F15" s="31" t="s">
        <v>121</v>
      </c>
      <c r="G15" s="32">
        <v>10</v>
      </c>
      <c r="H15" s="29" t="s">
        <v>122</v>
      </c>
      <c r="I15" s="22"/>
    </row>
    <row r="16" spans="1:9" ht="52" x14ac:dyDescent="0.35">
      <c r="A16" s="22"/>
      <c r="B16" s="24">
        <v>4</v>
      </c>
      <c r="C16" s="25" t="s">
        <v>128</v>
      </c>
      <c r="D16" s="25" t="s">
        <v>129</v>
      </c>
      <c r="E16" s="25" t="s">
        <v>130</v>
      </c>
      <c r="F16" s="36" t="s">
        <v>131</v>
      </c>
      <c r="G16" s="27">
        <v>9</v>
      </c>
      <c r="H16" s="37" t="s">
        <v>132</v>
      </c>
    </row>
    <row r="17" spans="1:8" x14ac:dyDescent="0.35">
      <c r="A17" s="22"/>
      <c r="B17" s="22"/>
      <c r="C17" s="22"/>
      <c r="D17" s="22"/>
      <c r="E17" s="22"/>
      <c r="F17" s="22"/>
      <c r="G17" s="22"/>
      <c r="H17" s="80"/>
    </row>
    <row r="18" spans="1:8" x14ac:dyDescent="0.35">
      <c r="A18" s="22"/>
      <c r="B18" s="22"/>
      <c r="C18" s="22"/>
      <c r="D18" s="22"/>
      <c r="E18" s="22"/>
      <c r="F18" s="22"/>
      <c r="G18" s="22"/>
      <c r="H18" s="80"/>
    </row>
    <row r="19" spans="1:8" ht="20.5" thickBot="1" x14ac:dyDescent="0.4">
      <c r="A19" s="22"/>
      <c r="B19" s="22"/>
      <c r="C19" s="22"/>
      <c r="D19" s="38" t="s">
        <v>133</v>
      </c>
      <c r="E19" s="22"/>
      <c r="F19" s="22"/>
      <c r="G19" s="22"/>
      <c r="H19" s="80"/>
    </row>
    <row r="20" spans="1:8" x14ac:dyDescent="0.35">
      <c r="A20" s="22"/>
      <c r="B20" s="142" t="s">
        <v>99</v>
      </c>
      <c r="C20" s="142" t="s">
        <v>100</v>
      </c>
      <c r="D20" s="142" t="s">
        <v>101</v>
      </c>
      <c r="E20" s="142" t="s">
        <v>102</v>
      </c>
      <c r="F20" s="142" t="s">
        <v>103</v>
      </c>
      <c r="G20" s="142" t="s">
        <v>104</v>
      </c>
      <c r="H20" s="144" t="s">
        <v>105</v>
      </c>
    </row>
    <row r="21" spans="1:8" ht="15" thickBot="1" x14ac:dyDescent="0.4">
      <c r="A21" s="22"/>
      <c r="B21" s="143"/>
      <c r="C21" s="143" t="s">
        <v>106</v>
      </c>
      <c r="D21" s="143" t="s">
        <v>107</v>
      </c>
      <c r="E21" s="143"/>
      <c r="F21" s="143" t="s">
        <v>108</v>
      </c>
      <c r="G21" s="143"/>
      <c r="H21" s="145"/>
    </row>
    <row r="22" spans="1:8" ht="58" x14ac:dyDescent="0.35">
      <c r="A22" s="22"/>
      <c r="B22" s="29">
        <v>1</v>
      </c>
      <c r="C22" s="30" t="s">
        <v>109</v>
      </c>
      <c r="D22" s="30" t="s">
        <v>110</v>
      </c>
      <c r="E22" s="30" t="s">
        <v>111</v>
      </c>
      <c r="F22" s="31" t="s">
        <v>112</v>
      </c>
      <c r="G22" s="32">
        <v>5</v>
      </c>
      <c r="H22" s="33" t="s">
        <v>113</v>
      </c>
    </row>
    <row r="23" spans="1:8" ht="58" x14ac:dyDescent="0.35">
      <c r="A23" s="22"/>
      <c r="B23" s="24">
        <v>2</v>
      </c>
      <c r="C23" s="25" t="s">
        <v>114</v>
      </c>
      <c r="D23" s="25" t="s">
        <v>115</v>
      </c>
      <c r="E23" s="25" t="s">
        <v>116</v>
      </c>
      <c r="F23" s="26" t="s">
        <v>117</v>
      </c>
      <c r="G23" s="27">
        <v>5</v>
      </c>
      <c r="H23" s="28" t="s">
        <v>113</v>
      </c>
    </row>
    <row r="24" spans="1:8" x14ac:dyDescent="0.35">
      <c r="A24" s="22"/>
      <c r="B24" s="22"/>
      <c r="C24" s="22"/>
      <c r="D24" s="22"/>
      <c r="E24" s="22"/>
      <c r="F24" s="22"/>
      <c r="G24" s="22"/>
      <c r="H24" s="22"/>
    </row>
    <row r="25" spans="1:8" x14ac:dyDescent="0.35">
      <c r="A25" s="22"/>
      <c r="B25" s="22"/>
      <c r="C25" s="22"/>
      <c r="D25" s="22"/>
      <c r="E25" s="22"/>
      <c r="F25" s="22"/>
      <c r="G25" s="22"/>
      <c r="H25" s="22"/>
    </row>
    <row r="26" spans="1:8" x14ac:dyDescent="0.35">
      <c r="A26" s="22"/>
      <c r="B26" s="22"/>
      <c r="C26" s="22"/>
      <c r="D26" s="22"/>
      <c r="E26" s="22"/>
      <c r="F26" s="22"/>
      <c r="G26" s="22"/>
      <c r="H26" s="22"/>
    </row>
    <row r="27" spans="1:8" x14ac:dyDescent="0.35">
      <c r="A27" s="22"/>
      <c r="B27" s="22"/>
      <c r="C27" s="22"/>
      <c r="D27" s="22"/>
      <c r="E27" s="22"/>
      <c r="F27" s="22"/>
      <c r="G27" s="22"/>
      <c r="H27" s="22"/>
    </row>
    <row r="28" spans="1:8" x14ac:dyDescent="0.35">
      <c r="A28" s="22"/>
      <c r="B28" s="22"/>
      <c r="C28" s="22"/>
      <c r="D28" s="22"/>
      <c r="E28" s="22"/>
      <c r="F28" s="22"/>
      <c r="G28" s="22"/>
      <c r="H28" s="22"/>
    </row>
    <row r="29" spans="1:8" x14ac:dyDescent="0.35">
      <c r="A29" s="22"/>
      <c r="B29" s="22"/>
      <c r="C29" s="22"/>
      <c r="D29" s="22"/>
      <c r="E29" s="22"/>
      <c r="F29" s="22"/>
      <c r="G29" s="22"/>
      <c r="H29" s="22"/>
    </row>
    <row r="30" spans="1:8" x14ac:dyDescent="0.35">
      <c r="A30" s="22"/>
      <c r="B30" s="22"/>
      <c r="C30" s="22"/>
      <c r="D30" s="22"/>
      <c r="E30" s="22"/>
      <c r="F30" s="22"/>
      <c r="G30" s="22"/>
      <c r="H30" s="22"/>
    </row>
    <row r="31" spans="1:8" x14ac:dyDescent="0.35">
      <c r="A31" s="22"/>
      <c r="B31" s="22"/>
      <c r="C31" s="22"/>
      <c r="D31" s="22"/>
      <c r="E31" s="22"/>
      <c r="F31" s="22"/>
      <c r="G31" s="22"/>
      <c r="H31" s="22"/>
    </row>
    <row r="32" spans="1:8" x14ac:dyDescent="0.35">
      <c r="A32" s="22"/>
      <c r="B32" s="22"/>
      <c r="C32" s="22"/>
      <c r="D32" s="22"/>
      <c r="E32" s="22"/>
      <c r="F32" s="22"/>
      <c r="G32" s="22"/>
      <c r="H32" s="22"/>
    </row>
    <row r="33" spans="1:8" x14ac:dyDescent="0.35">
      <c r="A33" s="22"/>
      <c r="B33" s="22"/>
      <c r="C33" s="22"/>
      <c r="D33" s="22"/>
      <c r="E33" s="22"/>
      <c r="F33" s="22"/>
      <c r="G33" s="22"/>
      <c r="H33" s="22"/>
    </row>
    <row r="34" spans="1:8" x14ac:dyDescent="0.35">
      <c r="A34" s="22"/>
      <c r="B34" s="22"/>
      <c r="C34" s="22"/>
      <c r="D34" s="22"/>
      <c r="E34" s="22"/>
      <c r="F34" s="22"/>
      <c r="G34" s="22"/>
      <c r="H34" s="22"/>
    </row>
    <row r="35" spans="1:8" x14ac:dyDescent="0.35">
      <c r="A35" s="22"/>
      <c r="B35" s="22"/>
      <c r="C35" s="22"/>
      <c r="D35" s="22"/>
      <c r="E35" s="22"/>
      <c r="F35" s="22"/>
      <c r="G35" s="22"/>
      <c r="H35" s="22"/>
    </row>
    <row r="36" spans="1:8" x14ac:dyDescent="0.35">
      <c r="A36" s="22"/>
      <c r="B36" s="22"/>
      <c r="C36" s="22"/>
      <c r="D36" s="22"/>
      <c r="E36" s="22"/>
      <c r="F36" s="22"/>
      <c r="G36" s="22"/>
      <c r="H36" s="22"/>
    </row>
    <row r="37" spans="1:8" x14ac:dyDescent="0.35">
      <c r="A37" s="22"/>
      <c r="B37" s="22"/>
      <c r="C37" s="22"/>
      <c r="D37" s="22"/>
      <c r="E37" s="22"/>
      <c r="F37" s="22"/>
      <c r="G37" s="22"/>
      <c r="H37" s="22"/>
    </row>
  </sheetData>
  <mergeCells count="22">
    <mergeCell ref="C1:F1"/>
    <mergeCell ref="B2:B3"/>
    <mergeCell ref="C2:C3"/>
    <mergeCell ref="D2:D3"/>
    <mergeCell ref="E2:E3"/>
    <mergeCell ref="F2:F3"/>
    <mergeCell ref="G20:G21"/>
    <mergeCell ref="H20:H21"/>
    <mergeCell ref="G2:G3"/>
    <mergeCell ref="H2:H3"/>
    <mergeCell ref="B9:F10"/>
    <mergeCell ref="B11:B12"/>
    <mergeCell ref="D11:D12"/>
    <mergeCell ref="E11:E12"/>
    <mergeCell ref="F11:F12"/>
    <mergeCell ref="G11:G12"/>
    <mergeCell ref="H11:H12"/>
    <mergeCell ref="B20:B21"/>
    <mergeCell ref="C20:C21"/>
    <mergeCell ref="D20:D21"/>
    <mergeCell ref="E20:E21"/>
    <mergeCell ref="F20:F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2:J44"/>
  <sheetViews>
    <sheetView workbookViewId="0">
      <selection sqref="A1:XFD1048576"/>
    </sheetView>
  </sheetViews>
  <sheetFormatPr defaultColWidth="9.1796875" defaultRowHeight="14.5" x14ac:dyDescent="0.35"/>
  <cols>
    <col min="1" max="2" width="9.1796875" style="22"/>
    <col min="3" max="3" width="5.26953125" style="22" customWidth="1"/>
    <col min="4" max="4" width="48" style="22" customWidth="1"/>
    <col min="5" max="5" width="26.54296875" style="22" customWidth="1"/>
    <col min="6" max="6" width="17.81640625" style="22" customWidth="1"/>
    <col min="7" max="7" width="11.453125" style="22" customWidth="1"/>
    <col min="8" max="8" width="12.26953125" style="22" customWidth="1"/>
    <col min="9" max="9" width="29.1796875" style="22" customWidth="1"/>
    <col min="10" max="16384" width="9.1796875" style="22"/>
  </cols>
  <sheetData>
    <row r="2" spans="4:10" ht="15" thickBot="1" x14ac:dyDescent="0.4">
      <c r="D2" s="22" t="s">
        <v>134</v>
      </c>
    </row>
    <row r="3" spans="4:10" ht="28.5" thickBot="1" x14ac:dyDescent="0.4">
      <c r="D3" s="156" t="s">
        <v>135</v>
      </c>
      <c r="E3" s="157"/>
      <c r="H3" s="39" t="s">
        <v>136</v>
      </c>
      <c r="I3" s="40"/>
      <c r="J3" s="41"/>
    </row>
    <row r="4" spans="4:10" ht="18" x14ac:dyDescent="0.35">
      <c r="D4" s="42" t="s">
        <v>137</v>
      </c>
      <c r="E4" s="43">
        <v>0.25</v>
      </c>
      <c r="H4" s="44" t="s">
        <v>138</v>
      </c>
      <c r="I4" s="45" t="s">
        <v>139</v>
      </c>
    </row>
    <row r="5" spans="4:10" ht="18" x14ac:dyDescent="0.35">
      <c r="D5" s="46" t="s">
        <v>140</v>
      </c>
      <c r="E5" s="47">
        <v>0.5</v>
      </c>
      <c r="H5" s="44" t="s">
        <v>141</v>
      </c>
      <c r="I5" s="45" t="s">
        <v>142</v>
      </c>
    </row>
    <row r="6" spans="4:10" ht="18.5" thickBot="1" x14ac:dyDescent="0.4">
      <c r="D6" s="48" t="s">
        <v>143</v>
      </c>
      <c r="E6" s="49">
        <v>0.25</v>
      </c>
      <c r="H6" s="44" t="s">
        <v>144</v>
      </c>
      <c r="I6" s="45" t="s">
        <v>145</v>
      </c>
    </row>
    <row r="7" spans="4:10" ht="15.5" x14ac:dyDescent="0.35">
      <c r="H7" s="44" t="s">
        <v>146</v>
      </c>
      <c r="I7" s="45" t="s">
        <v>147</v>
      </c>
    </row>
    <row r="8" spans="4:10" ht="15.5" x14ac:dyDescent="0.35">
      <c r="H8" s="44" t="s">
        <v>148</v>
      </c>
      <c r="I8" s="45" t="s">
        <v>149</v>
      </c>
    </row>
    <row r="9" spans="4:10" ht="15.5" x14ac:dyDescent="0.35">
      <c r="H9" s="46" t="s">
        <v>150</v>
      </c>
      <c r="I9" s="45" t="s">
        <v>151</v>
      </c>
    </row>
    <row r="10" spans="4:10" ht="15.5" x14ac:dyDescent="0.35">
      <c r="H10" s="46" t="s">
        <v>152</v>
      </c>
      <c r="I10" s="45" t="s">
        <v>153</v>
      </c>
    </row>
    <row r="11" spans="4:10" ht="15.5" x14ac:dyDescent="0.35">
      <c r="H11" s="46" t="s">
        <v>154</v>
      </c>
      <c r="I11" s="45" t="s">
        <v>155</v>
      </c>
    </row>
    <row r="12" spans="4:10" ht="15.5" x14ac:dyDescent="0.35">
      <c r="H12" s="46" t="s">
        <v>156</v>
      </c>
      <c r="I12" s="45" t="s">
        <v>157</v>
      </c>
    </row>
    <row r="13" spans="4:10" ht="16" thickBot="1" x14ac:dyDescent="0.4">
      <c r="D13" s="22" t="s">
        <v>158</v>
      </c>
      <c r="H13" s="46" t="s">
        <v>159</v>
      </c>
      <c r="I13" s="45" t="s">
        <v>118</v>
      </c>
    </row>
    <row r="14" spans="4:10" ht="28.5" thickBot="1" x14ac:dyDescent="0.4">
      <c r="D14" s="156" t="s">
        <v>135</v>
      </c>
      <c r="E14" s="157"/>
      <c r="H14" s="46" t="s">
        <v>160</v>
      </c>
      <c r="I14" s="45" t="s">
        <v>161</v>
      </c>
    </row>
    <row r="15" spans="4:10" ht="18" x14ac:dyDescent="0.35">
      <c r="D15" s="42" t="s">
        <v>137</v>
      </c>
      <c r="E15" s="43">
        <v>0.25</v>
      </c>
      <c r="H15" s="46" t="s">
        <v>162</v>
      </c>
      <c r="I15" s="45" t="s">
        <v>163</v>
      </c>
    </row>
    <row r="16" spans="4:10" ht="18" x14ac:dyDescent="0.35">
      <c r="D16" s="46" t="s">
        <v>164</v>
      </c>
      <c r="E16" s="47">
        <v>0.5</v>
      </c>
    </row>
    <row r="17" spans="4:7" ht="18.5" thickBot="1" x14ac:dyDescent="0.4">
      <c r="D17" s="48" t="s">
        <v>165</v>
      </c>
      <c r="E17" s="49">
        <v>0.25</v>
      </c>
    </row>
    <row r="22" spans="4:7" ht="15" thickBot="1" x14ac:dyDescent="0.4">
      <c r="D22" s="50" t="s">
        <v>166</v>
      </c>
      <c r="E22" s="51"/>
      <c r="F22" s="51"/>
      <c r="G22" s="52"/>
    </row>
    <row r="23" spans="4:7" x14ac:dyDescent="0.35">
      <c r="D23" s="53"/>
      <c r="E23" s="54" t="s">
        <v>167</v>
      </c>
      <c r="F23" s="55"/>
      <c r="G23" s="56"/>
    </row>
    <row r="24" spans="4:7" x14ac:dyDescent="0.35">
      <c r="D24" s="57"/>
      <c r="E24" s="57"/>
      <c r="F24" s="58" t="s">
        <v>168</v>
      </c>
      <c r="G24" s="59" t="s">
        <v>169</v>
      </c>
    </row>
    <row r="25" spans="4:7" x14ac:dyDescent="0.35">
      <c r="D25" s="60" t="s">
        <v>170</v>
      </c>
      <c r="E25" s="58" t="s">
        <v>32</v>
      </c>
      <c r="F25" s="61" t="s">
        <v>171</v>
      </c>
      <c r="G25" s="62">
        <v>5</v>
      </c>
    </row>
    <row r="26" spans="4:7" x14ac:dyDescent="0.35">
      <c r="D26" s="60" t="s">
        <v>172</v>
      </c>
      <c r="E26" s="58" t="s">
        <v>33</v>
      </c>
      <c r="F26" s="63" t="s">
        <v>173</v>
      </c>
      <c r="G26" s="64">
        <v>4</v>
      </c>
    </row>
    <row r="27" spans="4:7" x14ac:dyDescent="0.35">
      <c r="D27" s="60" t="s">
        <v>174</v>
      </c>
      <c r="E27" s="58" t="s">
        <v>175</v>
      </c>
      <c r="F27" s="63" t="s">
        <v>155</v>
      </c>
      <c r="G27" s="62">
        <v>8</v>
      </c>
    </row>
    <row r="28" spans="4:7" x14ac:dyDescent="0.35">
      <c r="D28" s="60" t="s">
        <v>176</v>
      </c>
      <c r="E28" s="58" t="s">
        <v>177</v>
      </c>
      <c r="F28" s="63" t="s">
        <v>178</v>
      </c>
      <c r="G28" s="62">
        <v>10</v>
      </c>
    </row>
    <row r="29" spans="4:7" x14ac:dyDescent="0.35">
      <c r="D29" s="60"/>
      <c r="E29" s="57"/>
      <c r="F29" s="58" t="s">
        <v>179</v>
      </c>
      <c r="G29" s="62"/>
    </row>
    <row r="30" spans="4:7" x14ac:dyDescent="0.35">
      <c r="D30" s="60" t="s">
        <v>170</v>
      </c>
      <c r="E30" s="58" t="s">
        <v>32</v>
      </c>
      <c r="F30" s="61" t="s">
        <v>171</v>
      </c>
      <c r="G30" s="65">
        <v>5</v>
      </c>
    </row>
    <row r="31" spans="4:7" x14ac:dyDescent="0.35">
      <c r="D31" s="60" t="s">
        <v>172</v>
      </c>
      <c r="E31" s="58" t="s">
        <v>33</v>
      </c>
      <c r="F31" s="63" t="s">
        <v>173</v>
      </c>
      <c r="G31" s="64">
        <v>4</v>
      </c>
    </row>
    <row r="32" spans="4:7" x14ac:dyDescent="0.35">
      <c r="D32" s="60"/>
      <c r="E32" s="57"/>
      <c r="F32" s="58" t="s">
        <v>123</v>
      </c>
      <c r="G32" s="62"/>
    </row>
    <row r="33" spans="4:7" x14ac:dyDescent="0.35">
      <c r="D33" s="60" t="s">
        <v>180</v>
      </c>
      <c r="E33" s="58" t="s">
        <v>37</v>
      </c>
      <c r="F33" s="63" t="s">
        <v>181</v>
      </c>
      <c r="G33" s="64">
        <v>3</v>
      </c>
    </row>
    <row r="34" spans="4:7" x14ac:dyDescent="0.35">
      <c r="D34" s="60" t="s">
        <v>182</v>
      </c>
      <c r="E34" s="58" t="s">
        <v>38</v>
      </c>
      <c r="F34" s="63" t="s">
        <v>183</v>
      </c>
      <c r="G34" s="64">
        <v>9</v>
      </c>
    </row>
    <row r="35" spans="4:7" x14ac:dyDescent="0.35">
      <c r="D35" s="66" t="s">
        <v>184</v>
      </c>
      <c r="E35" s="58" t="s">
        <v>39</v>
      </c>
      <c r="F35" s="63" t="s">
        <v>185</v>
      </c>
      <c r="G35" s="67">
        <v>12</v>
      </c>
    </row>
    <row r="36" spans="4:7" x14ac:dyDescent="0.35">
      <c r="D36" s="60"/>
      <c r="E36" s="57"/>
      <c r="F36" s="63"/>
      <c r="G36" s="68"/>
    </row>
    <row r="37" spans="4:7" ht="15" thickBot="1" x14ac:dyDescent="0.4">
      <c r="D37" s="69"/>
      <c r="E37" s="70"/>
      <c r="F37" s="70"/>
      <c r="G37" s="71"/>
    </row>
    <row r="38" spans="4:7" x14ac:dyDescent="0.35">
      <c r="D38" s="51"/>
      <c r="E38" s="51"/>
      <c r="F38" s="51"/>
      <c r="G38" s="52"/>
    </row>
    <row r="39" spans="4:7" ht="15" thickBot="1" x14ac:dyDescent="0.4">
      <c r="D39" s="158" t="s">
        <v>186</v>
      </c>
      <c r="E39" s="158"/>
      <c r="F39" s="158"/>
      <c r="G39" s="158"/>
    </row>
    <row r="40" spans="4:7" x14ac:dyDescent="0.35">
      <c r="D40" s="72"/>
      <c r="E40" s="73"/>
      <c r="F40" s="74" t="s">
        <v>168</v>
      </c>
      <c r="G40" s="75" t="s">
        <v>169</v>
      </c>
    </row>
    <row r="41" spans="4:7" x14ac:dyDescent="0.35">
      <c r="D41" s="60" t="s">
        <v>187</v>
      </c>
      <c r="E41" s="58" t="s">
        <v>188</v>
      </c>
      <c r="F41" s="63" t="s">
        <v>114</v>
      </c>
      <c r="G41" s="76">
        <v>5</v>
      </c>
    </row>
    <row r="42" spans="4:7" x14ac:dyDescent="0.35">
      <c r="D42" s="60" t="s">
        <v>189</v>
      </c>
      <c r="E42" s="58" t="s">
        <v>190</v>
      </c>
      <c r="F42" s="63" t="s">
        <v>109</v>
      </c>
      <c r="G42" s="76">
        <v>5</v>
      </c>
    </row>
    <row r="43" spans="4:7" ht="15" thickBot="1" x14ac:dyDescent="0.4">
      <c r="D43" s="69" t="s">
        <v>191</v>
      </c>
      <c r="E43" s="77" t="s">
        <v>192</v>
      </c>
      <c r="F43" s="78" t="s">
        <v>118</v>
      </c>
      <c r="G43" s="79">
        <v>10</v>
      </c>
    </row>
    <row r="44" spans="4:7" x14ac:dyDescent="0.35">
      <c r="D44" s="50"/>
      <c r="E44" s="51"/>
      <c r="F44" s="51"/>
      <c r="G44" s="52"/>
    </row>
  </sheetData>
  <mergeCells count="3">
    <mergeCell ref="D3:E3"/>
    <mergeCell ref="D14:E14"/>
    <mergeCell ref="D39:G3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BB0A58-EDDC-4DA3-A937-D3C8AC833E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OBE</vt:lpstr>
      <vt:lpstr>Rubrics</vt:lpstr>
      <vt:lpstr>Grading_Policy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Abrar Rana</dc:creator>
  <cp:keywords/>
  <dc:description/>
  <cp:lastModifiedBy>Asad Javed</cp:lastModifiedBy>
  <cp:revision/>
  <dcterms:created xsi:type="dcterms:W3CDTF">2015-06-05T18:17:20Z</dcterms:created>
  <dcterms:modified xsi:type="dcterms:W3CDTF">2026-02-28T06:34:01Z</dcterms:modified>
  <cp:category/>
  <cp:contentStatus/>
</cp:coreProperties>
</file>